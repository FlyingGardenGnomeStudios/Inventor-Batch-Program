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tfehr\Google Drive\Programs\"/>
    </mc:Choice>
  </mc:AlternateContent>
  <bookViews>
    <workbookView xWindow="0" yWindow="0" windowWidth="26910" windowHeight="9435" activeTab="1"/>
  </bookViews>
  <sheets>
    <sheet name="Quote" sheetId="1" r:id="rId1"/>
    <sheet name="Manual Entry" sheetId="3" r:id="rId2"/>
    <sheet name="Materials" sheetId="44" state="hidden" r:id="rId3"/>
    <sheet name="Saw Cut Lengths" sheetId="5" state="hidden" r:id="rId4"/>
    <sheet name="Saw Cut" sheetId="6" r:id="rId5"/>
    <sheet name="Cut List" sheetId="43" r:id="rId6"/>
    <sheet name="Piece List" sheetId="45" r:id="rId7"/>
    <sheet name="Lists" sheetId="2" state="hidden" r:id="rId8"/>
  </sheets>
  <functionGroups builtInGroupCount="18"/>
  <definedNames>
    <definedName name="_xlnm._FilterDatabase" localSheetId="0" hidden="1">Quote!#REF!</definedName>
    <definedName name="_xlnm._FilterDatabase" localSheetId="3" hidden="1">'Saw Cut Lengths'!$A$1:$G$1</definedName>
    <definedName name="AngleProf">Materials!$K$2:$K$96</definedName>
    <definedName name="ChanProf">Materials!$L$2:$L$30</definedName>
    <definedName name="FBMat">Materials!$A$2:$A$10</definedName>
    <definedName name="FBProf">Materials!$H$2:$H$76</definedName>
    <definedName name="HSSProf">Materials!$J$2:$J$191</definedName>
    <definedName name="HydTubeProf">Materials!$P$2:$P$54</definedName>
    <definedName name="Lead">Lists!$H$1:INDEX(Lists!$H$1:$H$200,MAX(Lists!$G$1:$G$200),1)</definedName>
    <definedName name="PipeMat">Materials!$F$2:$F$16</definedName>
    <definedName name="PipeProf">Materials!$O$2:$O$84</definedName>
    <definedName name="_xlnm.Print_Titles" localSheetId="5">'Cut List'!$1:$1</definedName>
    <definedName name="_xlnm.Print_Titles" localSheetId="0">Quote!$1:$3</definedName>
    <definedName name="RBMat">Materials!$B$2:$B$21</definedName>
    <definedName name="RBProf">Materials!$I$2:$I$19</definedName>
    <definedName name="SProf">Materials!$M$2:$M$28</definedName>
    <definedName name="StrucMat">Materials!$C$2:$C$8</definedName>
    <definedName name="Supplier">Lists!$L$1:INDEX(Lists!$L$1:$L$500,MAX(Lists!$K$1:$K$500),1)</definedName>
    <definedName name="TubeMat">Materials!$G$2:$G$10</definedName>
    <definedName name="TubeProf">Materials!$P$2:$P$54</definedName>
    <definedName name="Units">Lists!$D$1:INDEX(Lists!$D$1:$D$200,MAX(Lists!$C$1:$C$200),1)</definedName>
    <definedName name="WProf">Materials!$N$2:$N$161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L5" i="1" s="1"/>
  <c r="J329" i="2" l="1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73" i="2" s="1"/>
  <c r="J174" i="2"/>
  <c r="K174" i="2" s="1"/>
  <c r="J175" i="2"/>
  <c r="J176" i="2"/>
  <c r="J177" i="2"/>
  <c r="J178" i="2"/>
  <c r="K178" i="2" s="1"/>
  <c r="J179" i="2"/>
  <c r="K179" i="2" s="1"/>
  <c r="J180" i="2"/>
  <c r="K180" i="2" s="1"/>
  <c r="J181" i="2"/>
  <c r="J182" i="2"/>
  <c r="J183" i="2"/>
  <c r="J184" i="2"/>
  <c r="J185" i="2"/>
  <c r="K185" i="2" s="1"/>
  <c r="J186" i="2"/>
  <c r="J187" i="2"/>
  <c r="J188" i="2"/>
  <c r="J189" i="2"/>
  <c r="K189" i="2" s="1"/>
  <c r="J190" i="2"/>
  <c r="J191" i="2"/>
  <c r="J192" i="2"/>
  <c r="J193" i="2"/>
  <c r="J194" i="2"/>
  <c r="K194" i="2" s="1"/>
  <c r="J195" i="2"/>
  <c r="K195" i="2" s="1"/>
  <c r="J196" i="2"/>
  <c r="J197" i="2"/>
  <c r="J198" i="2"/>
  <c r="J199" i="2"/>
  <c r="J200" i="2"/>
  <c r="J201" i="2"/>
  <c r="K201" i="2" s="1"/>
  <c r="J202" i="2"/>
  <c r="J203" i="2"/>
  <c r="J204" i="2"/>
  <c r="K204" i="2" s="1"/>
  <c r="J205" i="2"/>
  <c r="K205" i="2" s="1"/>
  <c r="J206" i="2"/>
  <c r="J207" i="2"/>
  <c r="J208" i="2"/>
  <c r="J209" i="2"/>
  <c r="J210" i="2"/>
  <c r="K210" i="2" s="1"/>
  <c r="J211" i="2"/>
  <c r="K211" i="2" s="1"/>
  <c r="J212" i="2"/>
  <c r="J213" i="2"/>
  <c r="J214" i="2"/>
  <c r="K214" i="2" s="1"/>
  <c r="J215" i="2"/>
  <c r="J216" i="2"/>
  <c r="J217" i="2"/>
  <c r="J218" i="2"/>
  <c r="J219" i="2"/>
  <c r="J220" i="2"/>
  <c r="J221" i="2"/>
  <c r="K221" i="2" s="1"/>
  <c r="J222" i="2"/>
  <c r="J223" i="2"/>
  <c r="J224" i="2"/>
  <c r="J225" i="2"/>
  <c r="J226" i="2"/>
  <c r="K226" i="2" s="1"/>
  <c r="J227" i="2"/>
  <c r="K227" i="2" s="1"/>
  <c r="J228" i="2"/>
  <c r="J229" i="2"/>
  <c r="J230" i="2"/>
  <c r="K230" i="2" s="1"/>
  <c r="J231" i="2"/>
  <c r="J232" i="2"/>
  <c r="J233" i="2"/>
  <c r="J234" i="2"/>
  <c r="J235" i="2"/>
  <c r="J236" i="2"/>
  <c r="K236" i="2" s="1"/>
  <c r="J237" i="2"/>
  <c r="J238" i="2"/>
  <c r="J239" i="2"/>
  <c r="J240" i="2"/>
  <c r="J241" i="2"/>
  <c r="J242" i="2"/>
  <c r="J243" i="2"/>
  <c r="J244" i="2"/>
  <c r="J245" i="2"/>
  <c r="J246" i="2"/>
  <c r="K246" i="2" s="1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K261" i="2" s="1"/>
  <c r="J262" i="2"/>
  <c r="K262" i="2" s="1"/>
  <c r="J263" i="2"/>
  <c r="J264" i="2"/>
  <c r="J265" i="2"/>
  <c r="J266" i="2"/>
  <c r="J267" i="2"/>
  <c r="J268" i="2"/>
  <c r="J269" i="2"/>
  <c r="J270" i="2"/>
  <c r="J271" i="2"/>
  <c r="J272" i="2"/>
  <c r="J273" i="2"/>
  <c r="K273" i="2" s="1"/>
  <c r="J274" i="2"/>
  <c r="J275" i="2"/>
  <c r="K275" i="2" s="1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K291" i="2" s="1"/>
  <c r="J292" i="2"/>
  <c r="K292" i="2" s="1"/>
  <c r="J293" i="2"/>
  <c r="J294" i="2"/>
  <c r="J295" i="2"/>
  <c r="K295" i="2" s="1"/>
  <c r="J296" i="2"/>
  <c r="J297" i="2"/>
  <c r="J298" i="2"/>
  <c r="J299" i="2"/>
  <c r="J300" i="2"/>
  <c r="K300" i="2" s="1"/>
  <c r="J301" i="2"/>
  <c r="J302" i="2"/>
  <c r="J303" i="2"/>
  <c r="J304" i="2"/>
  <c r="J305" i="2"/>
  <c r="J306" i="2"/>
  <c r="J307" i="2"/>
  <c r="J308" i="2"/>
  <c r="J309" i="2"/>
  <c r="J310" i="2"/>
  <c r="K310" i="2" s="1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K325" i="2" s="1"/>
  <c r="J326" i="2"/>
  <c r="K326" i="2" s="1"/>
  <c r="J327" i="2"/>
  <c r="J328" i="2"/>
  <c r="J330" i="2"/>
  <c r="J331" i="2"/>
  <c r="J332" i="2"/>
  <c r="J333" i="2"/>
  <c r="J334" i="2"/>
  <c r="K334" i="2" s="1"/>
  <c r="J335" i="2"/>
  <c r="K335" i="2" s="1"/>
  <c r="J336" i="2"/>
  <c r="J337" i="2"/>
  <c r="K337" i="2" s="1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K350" i="2" s="1"/>
  <c r="J351" i="2"/>
  <c r="K351" i="2" s="1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K364" i="2" s="1"/>
  <c r="J365" i="2"/>
  <c r="K365" i="2" s="1"/>
  <c r="J366" i="2"/>
  <c r="K366" i="2" s="1"/>
  <c r="J367" i="2"/>
  <c r="K367" i="2" s="1"/>
  <c r="J368" i="2"/>
  <c r="J369" i="2"/>
  <c r="J370" i="2"/>
  <c r="J371" i="2"/>
  <c r="J372" i="2"/>
  <c r="K372" i="2" s="1"/>
  <c r="J373" i="2"/>
  <c r="J374" i="2"/>
  <c r="J375" i="2"/>
  <c r="J376" i="2"/>
  <c r="J377" i="2"/>
  <c r="J378" i="2"/>
  <c r="J379" i="2"/>
  <c r="J380" i="2"/>
  <c r="J381" i="2"/>
  <c r="K381" i="2" s="1"/>
  <c r="J382" i="2"/>
  <c r="K382" i="2" s="1"/>
  <c r="J383" i="2"/>
  <c r="K383" i="2" s="1"/>
  <c r="J384" i="2"/>
  <c r="J385" i="2"/>
  <c r="J386" i="2"/>
  <c r="J387" i="2"/>
  <c r="J388" i="2"/>
  <c r="K388" i="2" s="1"/>
  <c r="J389" i="2"/>
  <c r="J390" i="2"/>
  <c r="J391" i="2"/>
  <c r="J392" i="2"/>
  <c r="J393" i="2"/>
  <c r="J394" i="2"/>
  <c r="K394" i="2" s="1"/>
  <c r="J395" i="2"/>
  <c r="J396" i="2"/>
  <c r="K396" i="2" s="1"/>
  <c r="J397" i="2"/>
  <c r="J398" i="2"/>
  <c r="J399" i="2"/>
  <c r="K399" i="2" s="1"/>
  <c r="J400" i="2"/>
  <c r="J401" i="2"/>
  <c r="J402" i="2"/>
  <c r="K402" i="2" s="1"/>
  <c r="J403" i="2"/>
  <c r="J404" i="2"/>
  <c r="K404" i="2" s="1"/>
  <c r="J405" i="2"/>
  <c r="K405" i="2" s="1"/>
  <c r="J406" i="2"/>
  <c r="J407" i="2"/>
  <c r="J408" i="2"/>
  <c r="J409" i="2"/>
  <c r="J410" i="2"/>
  <c r="K410" i="2" s="1"/>
  <c r="J411" i="2"/>
  <c r="J412" i="2"/>
  <c r="J413" i="2"/>
  <c r="J414" i="2"/>
  <c r="K414" i="2" s="1"/>
  <c r="J415" i="2"/>
  <c r="J416" i="2"/>
  <c r="J417" i="2"/>
  <c r="J418" i="2"/>
  <c r="J419" i="2"/>
  <c r="J420" i="2"/>
  <c r="K420" i="2" s="1"/>
  <c r="J421" i="2"/>
  <c r="J422" i="2"/>
  <c r="J423" i="2"/>
  <c r="J424" i="2"/>
  <c r="J425" i="2"/>
  <c r="J426" i="2"/>
  <c r="K426" i="2" s="1"/>
  <c r="J427" i="2"/>
  <c r="J428" i="2"/>
  <c r="J429" i="2"/>
  <c r="J430" i="2"/>
  <c r="J431" i="2"/>
  <c r="K431" i="2" s="1"/>
  <c r="J432" i="2"/>
  <c r="J433" i="2"/>
  <c r="J434" i="2"/>
  <c r="K434" i="2" s="1"/>
  <c r="J435" i="2"/>
  <c r="J436" i="2"/>
  <c r="K436" i="2" s="1"/>
  <c r="J437" i="2"/>
  <c r="J438" i="2"/>
  <c r="J439" i="2"/>
  <c r="J440" i="2"/>
  <c r="K440" i="2" s="1"/>
  <c r="J441" i="2"/>
  <c r="J442" i="2"/>
  <c r="J443" i="2"/>
  <c r="J444" i="2"/>
  <c r="J445" i="2"/>
  <c r="J446" i="2"/>
  <c r="K446" i="2" s="1"/>
  <c r="J447" i="2"/>
  <c r="K447" i="2" s="1"/>
  <c r="J448" i="2"/>
  <c r="K448" i="2" s="1"/>
  <c r="J449" i="2"/>
  <c r="J450" i="2"/>
  <c r="K450" i="2" s="1"/>
  <c r="J451" i="2"/>
  <c r="J452" i="2"/>
  <c r="J453" i="2"/>
  <c r="J454" i="2"/>
  <c r="J455" i="2"/>
  <c r="J456" i="2"/>
  <c r="K456" i="2" s="1"/>
  <c r="J457" i="2"/>
  <c r="J458" i="2"/>
  <c r="J459" i="2"/>
  <c r="J460" i="2"/>
  <c r="K460" i="2" s="1"/>
  <c r="J461" i="2"/>
  <c r="K461" i="2" s="1"/>
  <c r="J462" i="2"/>
  <c r="K462" i="2" s="1"/>
  <c r="J463" i="2"/>
  <c r="K463" i="2" s="1"/>
  <c r="J464" i="2"/>
  <c r="K464" i="2" s="1"/>
  <c r="J465" i="2"/>
  <c r="J466" i="2"/>
  <c r="J467" i="2"/>
  <c r="J468" i="2"/>
  <c r="J469" i="2"/>
  <c r="J470" i="2"/>
  <c r="J471" i="2"/>
  <c r="K471" i="2" s="1"/>
  <c r="J472" i="2"/>
  <c r="J473" i="2"/>
  <c r="J474" i="2"/>
  <c r="K474" i="2" s="1"/>
  <c r="J475" i="2"/>
  <c r="J476" i="2"/>
  <c r="J477" i="2"/>
  <c r="K477" i="2" s="1"/>
  <c r="J478" i="2"/>
  <c r="J479" i="2"/>
  <c r="J480" i="2"/>
  <c r="J481" i="2"/>
  <c r="J482" i="2"/>
  <c r="J483" i="2"/>
  <c r="J484" i="2"/>
  <c r="J485" i="2"/>
  <c r="K485" i="2" s="1"/>
  <c r="J486" i="2"/>
  <c r="K486" i="2" s="1"/>
  <c r="J487" i="2"/>
  <c r="K487" i="2" s="1"/>
  <c r="J488" i="2"/>
  <c r="K488" i="2" s="1"/>
  <c r="J489" i="2"/>
  <c r="J490" i="2"/>
  <c r="J491" i="2"/>
  <c r="J492" i="2"/>
  <c r="K492" i="2" s="1"/>
  <c r="J493" i="2"/>
  <c r="J494" i="2"/>
  <c r="J495" i="2"/>
  <c r="J496" i="2"/>
  <c r="J497" i="2"/>
  <c r="J498" i="2"/>
  <c r="K498" i="2" s="1"/>
  <c r="J499" i="2"/>
  <c r="J500" i="2"/>
  <c r="K500" i="2" s="1"/>
  <c r="J1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K302" i="2" s="1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F1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G17" i="2" s="1"/>
  <c r="F18" i="2"/>
  <c r="F19" i="2"/>
  <c r="G19" i="2" s="1"/>
  <c r="F20" i="2"/>
  <c r="F21" i="2"/>
  <c r="F22" i="2"/>
  <c r="F23" i="2"/>
  <c r="G23" i="2" s="1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G39" i="2" s="1"/>
  <c r="F40" i="2"/>
  <c r="F41" i="2"/>
  <c r="F42" i="2"/>
  <c r="F43" i="2"/>
  <c r="F44" i="2"/>
  <c r="F45" i="2"/>
  <c r="G45" i="2" s="1"/>
  <c r="F46" i="2"/>
  <c r="F47" i="2"/>
  <c r="F48" i="2"/>
  <c r="F49" i="2"/>
  <c r="F50" i="2"/>
  <c r="F51" i="2"/>
  <c r="G51" i="2" s="1"/>
  <c r="F52" i="2"/>
  <c r="F53" i="2"/>
  <c r="G53" i="2" s="1"/>
  <c r="F54" i="2"/>
  <c r="F55" i="2"/>
  <c r="G55" i="2" s="1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G69" i="2" s="1"/>
  <c r="F70" i="2"/>
  <c r="F71" i="2"/>
  <c r="G71" i="2" s="1"/>
  <c r="F72" i="2"/>
  <c r="F73" i="2"/>
  <c r="F74" i="2"/>
  <c r="F75" i="2"/>
  <c r="F76" i="2"/>
  <c r="F77" i="2"/>
  <c r="G77" i="2" s="1"/>
  <c r="F78" i="2"/>
  <c r="F79" i="2"/>
  <c r="F80" i="2"/>
  <c r="F81" i="2"/>
  <c r="F82" i="2"/>
  <c r="F83" i="2"/>
  <c r="F84" i="2"/>
  <c r="F85" i="2"/>
  <c r="G85" i="2" s="1"/>
  <c r="F86" i="2"/>
  <c r="F87" i="2"/>
  <c r="G87" i="2" s="1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G101" i="2" s="1"/>
  <c r="F102" i="2"/>
  <c r="F103" i="2"/>
  <c r="G103" i="2" s="1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G117" i="2" s="1"/>
  <c r="F118" i="2"/>
  <c r="F119" i="2"/>
  <c r="G119" i="2" s="1"/>
  <c r="F120" i="2"/>
  <c r="F121" i="2"/>
  <c r="F122" i="2"/>
  <c r="F123" i="2"/>
  <c r="F124" i="2"/>
  <c r="F125" i="2"/>
  <c r="F126" i="2"/>
  <c r="F127" i="2"/>
  <c r="F128" i="2"/>
  <c r="F129" i="2"/>
  <c r="G129" i="2" s="1"/>
  <c r="F130" i="2"/>
  <c r="F131" i="2"/>
  <c r="F132" i="2"/>
  <c r="F133" i="2"/>
  <c r="G133" i="2" s="1"/>
  <c r="F134" i="2"/>
  <c r="F135" i="2"/>
  <c r="G135" i="2" s="1"/>
  <c r="F136" i="2"/>
  <c r="F137" i="2"/>
  <c r="F138" i="2"/>
  <c r="F139" i="2"/>
  <c r="F140" i="2"/>
  <c r="F141" i="2"/>
  <c r="F142" i="2"/>
  <c r="F143" i="2"/>
  <c r="F144" i="2"/>
  <c r="F145" i="2"/>
  <c r="G145" i="2" s="1"/>
  <c r="F146" i="2"/>
  <c r="F147" i="2"/>
  <c r="F148" i="2"/>
  <c r="F149" i="2"/>
  <c r="G149" i="2" s="1"/>
  <c r="F150" i="2"/>
  <c r="F151" i="2"/>
  <c r="G151" i="2" s="1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G165" i="2" s="1"/>
  <c r="F166" i="2"/>
  <c r="F167" i="2"/>
  <c r="G167" i="2" s="1"/>
  <c r="F168" i="2"/>
  <c r="F169" i="2"/>
  <c r="F170" i="2"/>
  <c r="F171" i="2"/>
  <c r="F172" i="2"/>
  <c r="F173" i="2"/>
  <c r="G173" i="2" s="1"/>
  <c r="F174" i="2"/>
  <c r="F175" i="2"/>
  <c r="F176" i="2"/>
  <c r="F177" i="2"/>
  <c r="G177" i="2" s="1"/>
  <c r="F178" i="2"/>
  <c r="F179" i="2"/>
  <c r="G179" i="2" s="1"/>
  <c r="F180" i="2"/>
  <c r="F181" i="2"/>
  <c r="G181" i="2" s="1"/>
  <c r="F182" i="2"/>
  <c r="F183" i="2"/>
  <c r="G183" i="2" s="1"/>
  <c r="F184" i="2"/>
  <c r="F185" i="2"/>
  <c r="B4" i="2"/>
  <c r="B5" i="2"/>
  <c r="B6" i="2"/>
  <c r="B7" i="2"/>
  <c r="B8" i="2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K263" i="2" l="1"/>
  <c r="K222" i="2"/>
  <c r="K175" i="2"/>
  <c r="K190" i="2"/>
  <c r="K359" i="2"/>
  <c r="K495" i="2"/>
  <c r="G128" i="2"/>
  <c r="G96" i="2"/>
  <c r="G140" i="2"/>
  <c r="G108" i="2"/>
  <c r="G114" i="2"/>
  <c r="K209" i="2"/>
  <c r="K245" i="2"/>
  <c r="K389" i="2"/>
  <c r="K435" i="2"/>
  <c r="K411" i="2"/>
  <c r="K257" i="2"/>
  <c r="K465" i="2"/>
  <c r="K348" i="2"/>
  <c r="K395" i="2"/>
  <c r="K357" i="2"/>
  <c r="K320" i="2"/>
  <c r="K296" i="2"/>
  <c r="K2" i="2"/>
  <c r="K429" i="2"/>
  <c r="K449" i="2"/>
  <c r="K455" i="2"/>
  <c r="K341" i="2"/>
  <c r="K441" i="2"/>
  <c r="K409" i="2"/>
  <c r="K313" i="2"/>
  <c r="K265" i="2"/>
  <c r="K423" i="2"/>
  <c r="K391" i="2"/>
  <c r="K3" i="2"/>
  <c r="K494" i="2"/>
  <c r="K430" i="2"/>
  <c r="K422" i="2"/>
  <c r="K406" i="2"/>
  <c r="K232" i="2"/>
  <c r="K266" i="2"/>
  <c r="K400" i="2"/>
  <c r="G64" i="2"/>
  <c r="K479" i="2"/>
  <c r="K451" i="2"/>
  <c r="K215" i="2"/>
  <c r="K200" i="2"/>
  <c r="K184" i="2"/>
  <c r="K242" i="2"/>
  <c r="K384" i="2"/>
  <c r="G172" i="2"/>
  <c r="G76" i="2"/>
  <c r="K470" i="2"/>
  <c r="K279" i="2"/>
  <c r="K271" i="2"/>
  <c r="K419" i="2"/>
  <c r="G146" i="2"/>
  <c r="G44" i="2"/>
  <c r="K297" i="2"/>
  <c r="K239" i="2"/>
  <c r="K330" i="2"/>
  <c r="K191" i="2"/>
  <c r="G178" i="2"/>
  <c r="K489" i="2"/>
  <c r="K303" i="2"/>
  <c r="K401" i="2"/>
  <c r="K183" i="2"/>
  <c r="G24" i="2"/>
  <c r="K438" i="2"/>
  <c r="K323" i="2"/>
  <c r="K387" i="2"/>
  <c r="K352" i="2"/>
  <c r="K445" i="2"/>
  <c r="K437" i="2"/>
  <c r="G162" i="2"/>
  <c r="G156" i="2"/>
  <c r="G144" i="2"/>
  <c r="G112" i="2"/>
  <c r="G99" i="2"/>
  <c r="G93" i="2"/>
  <c r="G61" i="2"/>
  <c r="G49" i="2"/>
  <c r="G29" i="2"/>
  <c r="K234" i="2"/>
  <c r="K358" i="2"/>
  <c r="K476" i="2"/>
  <c r="K444" i="2"/>
  <c r="K428" i="2"/>
  <c r="K340" i="2"/>
  <c r="G157" i="2"/>
  <c r="G82" i="2"/>
  <c r="G176" i="2"/>
  <c r="G125" i="2"/>
  <c r="G81" i="2"/>
  <c r="G130" i="2"/>
  <c r="K269" i="2"/>
  <c r="G98" i="2"/>
  <c r="G92" i="2"/>
  <c r="G66" i="2"/>
  <c r="G60" i="2"/>
  <c r="G48" i="2"/>
  <c r="G34" i="2"/>
  <c r="G28" i="2"/>
  <c r="K314" i="2"/>
  <c r="K307" i="2"/>
  <c r="K432" i="2"/>
  <c r="K425" i="2"/>
  <c r="K417" i="2"/>
  <c r="K390" i="2"/>
  <c r="K378" i="2"/>
  <c r="K338" i="2"/>
  <c r="G113" i="2"/>
  <c r="G18" i="2"/>
  <c r="K353" i="2"/>
  <c r="G50" i="2"/>
  <c r="G161" i="2"/>
  <c r="G124" i="2"/>
  <c r="G80" i="2"/>
  <c r="K478" i="2"/>
  <c r="K454" i="2"/>
  <c r="K418" i="2"/>
  <c r="K371" i="2"/>
  <c r="G160" i="2"/>
  <c r="G147" i="2"/>
  <c r="G141" i="2"/>
  <c r="G109" i="2"/>
  <c r="G97" i="2"/>
  <c r="G65" i="2"/>
  <c r="G33" i="2"/>
  <c r="K293" i="2"/>
  <c r="K267" i="2"/>
  <c r="K424" i="2"/>
  <c r="K369" i="2"/>
  <c r="K274" i="2"/>
  <c r="K216" i="2"/>
  <c r="K499" i="2"/>
  <c r="K453" i="2"/>
  <c r="K413" i="2"/>
  <c r="K306" i="2"/>
  <c r="K283" i="2"/>
  <c r="K187" i="2"/>
  <c r="K322" i="2"/>
  <c r="K220" i="2"/>
  <c r="K484" i="2"/>
  <c r="K468" i="2"/>
  <c r="K412" i="2"/>
  <c r="K305" i="2"/>
  <c r="K282" i="2"/>
  <c r="K251" i="2"/>
  <c r="K415" i="2"/>
  <c r="K233" i="2"/>
  <c r="K203" i="2"/>
  <c r="K368" i="2"/>
  <c r="K193" i="2"/>
  <c r="K333" i="2"/>
  <c r="K327" i="2"/>
  <c r="K321" i="2"/>
  <c r="K286" i="2"/>
  <c r="K231" i="2"/>
  <c r="K36" i="2"/>
  <c r="K491" i="2"/>
  <c r="K483" i="2"/>
  <c r="K467" i="2"/>
  <c r="K339" i="2"/>
  <c r="K260" i="2"/>
  <c r="K68" i="2"/>
  <c r="K196" i="2"/>
  <c r="K397" i="2"/>
  <c r="K259" i="2"/>
  <c r="K452" i="2"/>
  <c r="K356" i="2"/>
  <c r="K480" i="2"/>
  <c r="K475" i="2"/>
  <c r="K469" i="2"/>
  <c r="K281" i="2"/>
  <c r="K421" i="2"/>
  <c r="K403" i="2"/>
  <c r="K380" i="2"/>
  <c r="K373" i="2"/>
  <c r="K258" i="2"/>
  <c r="K206" i="2"/>
  <c r="K490" i="2"/>
  <c r="K466" i="2"/>
  <c r="K458" i="2"/>
  <c r="K442" i="2"/>
  <c r="K370" i="2"/>
  <c r="K362" i="2"/>
  <c r="K346" i="2"/>
  <c r="K398" i="2"/>
  <c r="K493" i="2"/>
  <c r="K315" i="2"/>
  <c r="K427" i="2"/>
  <c r="K202" i="2"/>
  <c r="K349" i="2"/>
  <c r="K343" i="2"/>
  <c r="K100" i="2"/>
  <c r="K439" i="2"/>
  <c r="K433" i="2"/>
  <c r="K249" i="2"/>
  <c r="K243" i="2"/>
  <c r="K225" i="2"/>
  <c r="K219" i="2"/>
  <c r="K379" i="2"/>
  <c r="K342" i="2"/>
  <c r="K336" i="2"/>
  <c r="K331" i="2"/>
  <c r="K241" i="2"/>
  <c r="K235" i="2"/>
  <c r="K217" i="2"/>
  <c r="K199" i="2"/>
  <c r="K496" i="2"/>
  <c r="K65" i="2"/>
  <c r="K280" i="2"/>
  <c r="K124" i="2"/>
  <c r="K57" i="2"/>
  <c r="K497" i="2"/>
  <c r="K332" i="2"/>
  <c r="K256" i="2"/>
  <c r="K240" i="2"/>
  <c r="K33" i="2"/>
  <c r="K308" i="2"/>
  <c r="K244" i="2"/>
  <c r="K92" i="2"/>
  <c r="K408" i="2"/>
  <c r="K393" i="2"/>
  <c r="K294" i="2"/>
  <c r="K254" i="2"/>
  <c r="K188" i="2"/>
  <c r="K129" i="2"/>
  <c r="K46" i="2"/>
  <c r="K472" i="2"/>
  <c r="K407" i="2"/>
  <c r="K392" i="2"/>
  <c r="K376" i="2"/>
  <c r="K361" i="2"/>
  <c r="K345" i="2"/>
  <c r="K324" i="2"/>
  <c r="K317" i="2"/>
  <c r="K312" i="2"/>
  <c r="K298" i="2"/>
  <c r="K289" i="2"/>
  <c r="K268" i="2"/>
  <c r="K264" i="2"/>
  <c r="K253" i="2"/>
  <c r="K248" i="2"/>
  <c r="K238" i="2"/>
  <c r="K229" i="2"/>
  <c r="K198" i="2"/>
  <c r="K182" i="2"/>
  <c r="K172" i="2"/>
  <c r="K121" i="2"/>
  <c r="K60" i="2"/>
  <c r="K132" i="2"/>
  <c r="K88" i="2"/>
  <c r="K4" i="2"/>
  <c r="K285" i="2"/>
  <c r="K270" i="2"/>
  <c r="K250" i="2"/>
  <c r="K347" i="2"/>
  <c r="K304" i="2"/>
  <c r="K56" i="2"/>
  <c r="K459" i="2"/>
  <c r="K299" i="2"/>
  <c r="K255" i="2"/>
  <c r="K25" i="2"/>
  <c r="K377" i="2"/>
  <c r="K318" i="2"/>
  <c r="K290" i="2"/>
  <c r="K24" i="2"/>
  <c r="K482" i="2"/>
  <c r="K457" i="2"/>
  <c r="K443" i="2"/>
  <c r="K386" i="2"/>
  <c r="K375" i="2"/>
  <c r="K360" i="2"/>
  <c r="K355" i="2"/>
  <c r="K344" i="2"/>
  <c r="K316" i="2"/>
  <c r="K311" i="2"/>
  <c r="K288" i="2"/>
  <c r="K277" i="2"/>
  <c r="K272" i="2"/>
  <c r="K252" i="2"/>
  <c r="K247" i="2"/>
  <c r="K224" i="2"/>
  <c r="K213" i="2"/>
  <c r="K208" i="2"/>
  <c r="K197" i="2"/>
  <c r="K181" i="2"/>
  <c r="K177" i="2"/>
  <c r="K142" i="2"/>
  <c r="K120" i="2"/>
  <c r="K97" i="2"/>
  <c r="K14" i="2"/>
  <c r="K110" i="2"/>
  <c r="K363" i="2"/>
  <c r="K309" i="2"/>
  <c r="K284" i="2"/>
  <c r="K78" i="2"/>
  <c r="K319" i="2"/>
  <c r="K473" i="2"/>
  <c r="K278" i="2"/>
  <c r="K152" i="2"/>
  <c r="K481" i="2"/>
  <c r="K416" i="2"/>
  <c r="K385" i="2"/>
  <c r="K374" i="2"/>
  <c r="K354" i="2"/>
  <c r="K328" i="2"/>
  <c r="K301" i="2"/>
  <c r="K287" i="2"/>
  <c r="K276" i="2"/>
  <c r="K237" i="2"/>
  <c r="K228" i="2"/>
  <c r="K223" i="2"/>
  <c r="K218" i="2"/>
  <c r="K212" i="2"/>
  <c r="K207" i="2"/>
  <c r="K192" i="2"/>
  <c r="K186" i="2"/>
  <c r="K176" i="2"/>
  <c r="K156" i="2"/>
  <c r="K89" i="2"/>
  <c r="K28" i="2"/>
  <c r="K10" i="2"/>
  <c r="K18" i="2"/>
  <c r="K26" i="2"/>
  <c r="K34" i="2"/>
  <c r="K42" i="2"/>
  <c r="K50" i="2"/>
  <c r="K58" i="2"/>
  <c r="K66" i="2"/>
  <c r="K74" i="2"/>
  <c r="K82" i="2"/>
  <c r="K90" i="2"/>
  <c r="K98" i="2"/>
  <c r="K106" i="2"/>
  <c r="K114" i="2"/>
  <c r="K122" i="2"/>
  <c r="K130" i="2"/>
  <c r="K138" i="2"/>
  <c r="K146" i="2"/>
  <c r="K154" i="2"/>
  <c r="K19" i="2"/>
  <c r="K51" i="2"/>
  <c r="K83" i="2"/>
  <c r="K115" i="2"/>
  <c r="K147" i="2"/>
  <c r="K5" i="2"/>
  <c r="K9" i="2"/>
  <c r="K12" i="2"/>
  <c r="K30" i="2"/>
  <c r="K37" i="2"/>
  <c r="K41" i="2"/>
  <c r="K44" i="2"/>
  <c r="K62" i="2"/>
  <c r="K69" i="2"/>
  <c r="K73" i="2"/>
  <c r="K76" i="2"/>
  <c r="K94" i="2"/>
  <c r="K101" i="2"/>
  <c r="K105" i="2"/>
  <c r="K108" i="2"/>
  <c r="K126" i="2"/>
  <c r="K133" i="2"/>
  <c r="K137" i="2"/>
  <c r="K140" i="2"/>
  <c r="K13" i="2"/>
  <c r="K45" i="2"/>
  <c r="K77" i="2"/>
  <c r="K109" i="2"/>
  <c r="K141" i="2"/>
  <c r="K96" i="2"/>
  <c r="K32" i="2"/>
  <c r="K145" i="2"/>
  <c r="K136" i="2"/>
  <c r="K131" i="2"/>
  <c r="K113" i="2"/>
  <c r="K104" i="2"/>
  <c r="K99" i="2"/>
  <c r="K81" i="2"/>
  <c r="K72" i="2"/>
  <c r="K67" i="2"/>
  <c r="K49" i="2"/>
  <c r="K40" i="2"/>
  <c r="K35" i="2"/>
  <c r="K17" i="2"/>
  <c r="K8" i="2"/>
  <c r="K149" i="2"/>
  <c r="K139" i="2"/>
  <c r="K135" i="2"/>
  <c r="K117" i="2"/>
  <c r="K107" i="2"/>
  <c r="K103" i="2"/>
  <c r="K85" i="2"/>
  <c r="K75" i="2"/>
  <c r="K71" i="2"/>
  <c r="K53" i="2"/>
  <c r="K43" i="2"/>
  <c r="K39" i="2"/>
  <c r="K21" i="2"/>
  <c r="K11" i="2"/>
  <c r="K7" i="2"/>
  <c r="K155" i="2"/>
  <c r="K150" i="2"/>
  <c r="K123" i="2"/>
  <c r="K91" i="2"/>
  <c r="K59" i="2"/>
  <c r="K27" i="2"/>
  <c r="K22" i="2"/>
  <c r="K111" i="2"/>
  <c r="K47" i="2"/>
  <c r="K15" i="2"/>
  <c r="K157" i="2"/>
  <c r="K153" i="2"/>
  <c r="K148" i="2"/>
  <c r="K134" i="2"/>
  <c r="K125" i="2"/>
  <c r="K116" i="2"/>
  <c r="K102" i="2"/>
  <c r="K93" i="2"/>
  <c r="K84" i="2"/>
  <c r="K70" i="2"/>
  <c r="K61" i="2"/>
  <c r="K52" i="2"/>
  <c r="K38" i="2"/>
  <c r="K29" i="2"/>
  <c r="K20" i="2"/>
  <c r="K6" i="2"/>
  <c r="K128" i="2"/>
  <c r="K118" i="2"/>
  <c r="K86" i="2"/>
  <c r="K64" i="2"/>
  <c r="K54" i="2"/>
  <c r="K143" i="2"/>
  <c r="K79" i="2"/>
  <c r="K127" i="2"/>
  <c r="K95" i="2"/>
  <c r="K63" i="2"/>
  <c r="K31" i="2"/>
  <c r="K151" i="2"/>
  <c r="K119" i="2"/>
  <c r="K87" i="2"/>
  <c r="K55" i="2"/>
  <c r="K23" i="2"/>
  <c r="K144" i="2"/>
  <c r="K112" i="2"/>
  <c r="K80" i="2"/>
  <c r="K48" i="2"/>
  <c r="K16" i="2"/>
  <c r="G142" i="2"/>
  <c r="G127" i="2"/>
  <c r="G175" i="2"/>
  <c r="G104" i="2"/>
  <c r="G89" i="2"/>
  <c r="G62" i="2"/>
  <c r="G47" i="2"/>
  <c r="G185" i="2"/>
  <c r="G168" i="2"/>
  <c r="G153" i="2"/>
  <c r="G126" i="2"/>
  <c r="G111" i="2"/>
  <c r="G83" i="2"/>
  <c r="G40" i="2"/>
  <c r="G25" i="2"/>
  <c r="G174" i="2"/>
  <c r="G159" i="2"/>
  <c r="G131" i="2"/>
  <c r="G88" i="2"/>
  <c r="G73" i="2"/>
  <c r="G46" i="2"/>
  <c r="G31" i="2"/>
  <c r="G110" i="2"/>
  <c r="G95" i="2"/>
  <c r="G67" i="2"/>
  <c r="G158" i="2"/>
  <c r="G143" i="2"/>
  <c r="G115" i="2"/>
  <c r="G72" i="2"/>
  <c r="G57" i="2"/>
  <c r="G35" i="2"/>
  <c r="G136" i="2"/>
  <c r="G121" i="2"/>
  <c r="G94" i="2"/>
  <c r="G79" i="2"/>
  <c r="G184" i="2"/>
  <c r="G169" i="2"/>
  <c r="G56" i="2"/>
  <c r="G41" i="2"/>
  <c r="G152" i="2"/>
  <c r="G137" i="2"/>
  <c r="G30" i="2"/>
  <c r="G163" i="2"/>
  <c r="G120" i="2"/>
  <c r="G105" i="2"/>
  <c r="G78" i="2"/>
  <c r="G63" i="2"/>
  <c r="G170" i="2"/>
  <c r="G154" i="2"/>
  <c r="G138" i="2"/>
  <c r="G122" i="2"/>
  <c r="G106" i="2"/>
  <c r="G90" i="2"/>
  <c r="G74" i="2"/>
  <c r="G58" i="2"/>
  <c r="G42" i="2"/>
  <c r="G26" i="2"/>
  <c r="G180" i="2"/>
  <c r="G164" i="2"/>
  <c r="G148" i="2"/>
  <c r="G132" i="2"/>
  <c r="G116" i="2"/>
  <c r="G100" i="2"/>
  <c r="G84" i="2"/>
  <c r="G68" i="2"/>
  <c r="G52" i="2"/>
  <c r="G36" i="2"/>
  <c r="G20" i="2"/>
  <c r="G182" i="2"/>
  <c r="G171" i="2"/>
  <c r="G166" i="2"/>
  <c r="G155" i="2"/>
  <c r="G150" i="2"/>
  <c r="G139" i="2"/>
  <c r="G134" i="2"/>
  <c r="G123" i="2"/>
  <c r="G118" i="2"/>
  <c r="G107" i="2"/>
  <c r="G102" i="2"/>
  <c r="G91" i="2"/>
  <c r="G86" i="2"/>
  <c r="G75" i="2"/>
  <c r="G70" i="2"/>
  <c r="G59" i="2"/>
  <c r="G54" i="2"/>
  <c r="G43" i="2"/>
  <c r="G38" i="2"/>
  <c r="G27" i="2"/>
  <c r="G22" i="2"/>
  <c r="G37" i="2"/>
  <c r="G32" i="2"/>
  <c r="G21" i="2"/>
  <c r="G16" i="2"/>
  <c r="J158" i="2" l="1"/>
  <c r="F187" i="2"/>
  <c r="G187" i="2" s="1"/>
  <c r="F188" i="2"/>
  <c r="G188" i="2" s="1"/>
  <c r="F189" i="2"/>
  <c r="G189" i="2" s="1"/>
  <c r="F190" i="2"/>
  <c r="G190" i="2" s="1"/>
  <c r="F191" i="2"/>
  <c r="G191" i="2" s="1"/>
  <c r="F192" i="2"/>
  <c r="G192" i="2" s="1"/>
  <c r="F193" i="2"/>
  <c r="G193" i="2" s="1"/>
  <c r="F194" i="2"/>
  <c r="G194" i="2" s="1"/>
  <c r="F195" i="2"/>
  <c r="G195" i="2" s="1"/>
  <c r="F196" i="2"/>
  <c r="G196" i="2" s="1"/>
  <c r="F197" i="2"/>
  <c r="G197" i="2" s="1"/>
  <c r="F198" i="2"/>
  <c r="G198" i="2" s="1"/>
  <c r="F199" i="2"/>
  <c r="G199" i="2" s="1"/>
  <c r="F200" i="2"/>
  <c r="G200" i="2" s="1"/>
  <c r="F186" i="2"/>
  <c r="G186" i="2" s="1"/>
  <c r="B199" i="2"/>
  <c r="C199" i="2" s="1"/>
  <c r="B200" i="2"/>
  <c r="C200" i="2" s="1"/>
  <c r="B1" i="2"/>
  <c r="C8" i="2" s="1"/>
  <c r="B2" i="2"/>
  <c r="B3" i="2"/>
  <c r="B198" i="2"/>
  <c r="C198" i="2" s="1"/>
  <c r="K329" i="2" l="1"/>
  <c r="K163" i="2"/>
  <c r="K167" i="2"/>
  <c r="K160" i="2"/>
  <c r="K166" i="2"/>
  <c r="K158" i="2"/>
  <c r="K168" i="2"/>
  <c r="K170" i="2"/>
  <c r="K164" i="2"/>
  <c r="K162" i="2"/>
  <c r="K159" i="2"/>
  <c r="K165" i="2"/>
  <c r="K161" i="2"/>
  <c r="K171" i="2"/>
  <c r="K169" i="2"/>
  <c r="C7" i="2"/>
  <c r="K1" i="2"/>
  <c r="G5" i="2"/>
  <c r="G6" i="2"/>
  <c r="C2" i="2"/>
  <c r="G4" i="2"/>
  <c r="G7" i="2"/>
  <c r="G11" i="2"/>
  <c r="C4" i="2"/>
  <c r="G9" i="2"/>
  <c r="G13" i="2"/>
  <c r="C3" i="2"/>
  <c r="G14" i="2"/>
  <c r="G15" i="2"/>
  <c r="G3" i="2"/>
  <c r="G1" i="2"/>
  <c r="G10" i="2"/>
  <c r="C6" i="2"/>
  <c r="C1" i="2"/>
  <c r="G2" i="2"/>
  <c r="C5" i="2"/>
  <c r="G8" i="2"/>
  <c r="G12" i="2"/>
  <c r="L500" i="2" l="1"/>
  <c r="L3" i="2"/>
  <c r="L2" i="2"/>
  <c r="L1" i="2"/>
  <c r="L207" i="2"/>
  <c r="L5" i="2"/>
  <c r="L4" i="2"/>
  <c r="L431" i="2"/>
  <c r="L12" i="2"/>
  <c r="L434" i="2"/>
  <c r="L330" i="2"/>
  <c r="L196" i="2"/>
  <c r="L54" i="2"/>
  <c r="L286" i="2"/>
  <c r="L496" i="2"/>
  <c r="L488" i="2"/>
  <c r="L471" i="2"/>
  <c r="L29" i="2"/>
  <c r="L448" i="2"/>
  <c r="L460" i="2"/>
  <c r="L205" i="2"/>
  <c r="L39" i="2"/>
  <c r="L150" i="2"/>
  <c r="L376" i="2"/>
  <c r="L428" i="2"/>
  <c r="L305" i="2"/>
  <c r="L452" i="2"/>
  <c r="L294" i="2"/>
  <c r="L148" i="2"/>
  <c r="L300" i="2"/>
  <c r="L426" i="2"/>
  <c r="L231" i="2"/>
  <c r="L287" i="2"/>
  <c r="L119" i="2"/>
  <c r="L108" i="2"/>
  <c r="L285" i="2"/>
  <c r="L144" i="2"/>
  <c r="L422" i="2"/>
  <c r="L49" i="2"/>
  <c r="L403" i="2"/>
  <c r="L351" i="2"/>
  <c r="L116" i="2"/>
  <c r="L293" i="2"/>
  <c r="L147" i="2"/>
  <c r="L464" i="2"/>
  <c r="L369" i="2"/>
  <c r="L371" i="2"/>
  <c r="L470" i="2"/>
  <c r="L87" i="2"/>
  <c r="L170" i="2"/>
  <c r="L438" i="2"/>
  <c r="L63" i="2"/>
  <c r="L455" i="2"/>
  <c r="L24" i="2"/>
  <c r="L362" i="2"/>
  <c r="L20" i="2"/>
  <c r="L131" i="2"/>
  <c r="L188" i="2"/>
  <c r="L266" i="2"/>
  <c r="L374" i="2"/>
  <c r="L164" i="2"/>
  <c r="L276" i="2"/>
  <c r="L494" i="2"/>
  <c r="L124" i="2"/>
  <c r="L6" i="2"/>
  <c r="L152" i="2"/>
  <c r="L411" i="2"/>
  <c r="L169" i="2"/>
  <c r="L177" i="2"/>
  <c r="L327" i="2"/>
  <c r="L480" i="2"/>
  <c r="L468" i="2"/>
  <c r="L159" i="2"/>
  <c r="L88" i="2"/>
  <c r="L481" i="2"/>
  <c r="L65" i="2"/>
  <c r="L386" i="2"/>
  <c r="L349" i="2"/>
  <c r="L474" i="2"/>
  <c r="L423" i="2"/>
  <c r="L384" i="2"/>
  <c r="L482" i="2"/>
  <c r="L198" i="2"/>
  <c r="L34" i="2"/>
  <c r="L79" i="2"/>
  <c r="L239" i="2"/>
  <c r="L321" i="2"/>
  <c r="L318" i="2"/>
  <c r="L242" i="2"/>
  <c r="L424" i="2"/>
  <c r="L176" i="2"/>
  <c r="L392" i="2"/>
  <c r="L306" i="2"/>
  <c r="L240" i="2"/>
  <c r="L407" i="2"/>
  <c r="L187" i="2"/>
  <c r="L31" i="2"/>
  <c r="L129" i="2"/>
  <c r="L368" i="2"/>
  <c r="L442" i="2"/>
  <c r="L367" i="2"/>
  <c r="L476" i="2"/>
  <c r="L133" i="2"/>
  <c r="L246" i="2"/>
  <c r="L394" i="2"/>
  <c r="L491" i="2"/>
  <c r="L103" i="2"/>
  <c r="L230" i="2"/>
  <c r="L440" i="2"/>
  <c r="L296" i="2"/>
  <c r="L98" i="2"/>
  <c r="L273" i="2"/>
  <c r="L64" i="2"/>
  <c r="L212" i="2"/>
  <c r="L421" i="2"/>
  <c r="L401" i="2"/>
  <c r="L487" i="2"/>
  <c r="L465" i="2"/>
  <c r="L141" i="2"/>
  <c r="L172" i="2"/>
  <c r="L22" i="2"/>
  <c r="L254" i="2"/>
  <c r="L486" i="2"/>
  <c r="L484" i="2"/>
  <c r="L166" i="2"/>
  <c r="L233" i="2"/>
  <c r="L180" i="2"/>
  <c r="L26" i="2"/>
  <c r="L257" i="2"/>
  <c r="L275" i="2"/>
  <c r="L419" i="2"/>
  <c r="L104" i="2"/>
  <c r="L342" i="2"/>
  <c r="L60" i="2"/>
  <c r="L328" i="2"/>
  <c r="L307" i="2"/>
  <c r="L69" i="2"/>
  <c r="L113" i="2"/>
  <c r="L283" i="2"/>
  <c r="L264" i="2"/>
  <c r="L441" i="2"/>
  <c r="L467" i="2"/>
  <c r="L107" i="2"/>
  <c r="L451" i="2"/>
  <c r="L209" i="2"/>
  <c r="L43" i="2"/>
  <c r="L469" i="2"/>
  <c r="L366" i="2"/>
  <c r="L354" i="2"/>
  <c r="L399" i="2"/>
  <c r="L360" i="2"/>
  <c r="L387" i="2"/>
  <c r="L272" i="2"/>
  <c r="L200" i="2"/>
  <c r="L337" i="2"/>
  <c r="L489" i="2"/>
  <c r="L139" i="2"/>
  <c r="L111" i="2"/>
  <c r="L66" i="2"/>
  <c r="L71" i="2"/>
  <c r="L364" i="2"/>
  <c r="L163" i="2"/>
  <c r="L416" i="2"/>
  <c r="L308" i="2"/>
  <c r="L99" i="2"/>
  <c r="L319" i="2"/>
  <c r="L35" i="2"/>
  <c r="L40" i="2"/>
  <c r="L96" i="2"/>
  <c r="L191" i="2"/>
  <c r="L18" i="2"/>
  <c r="L477" i="2"/>
  <c r="L117" i="2"/>
  <c r="L497" i="2"/>
  <c r="L95" i="2"/>
  <c r="L224" i="2"/>
  <c r="L432" i="2"/>
  <c r="L302" i="2"/>
  <c r="L102" i="2"/>
  <c r="L346" i="2"/>
  <c r="L261" i="2"/>
  <c r="L398" i="2"/>
  <c r="L375" i="2"/>
  <c r="L326" i="2"/>
  <c r="L167" i="2"/>
  <c r="L280" i="2"/>
  <c r="L91" i="2"/>
  <c r="L174" i="2"/>
  <c r="L475" i="2"/>
  <c r="L463" i="2"/>
  <c r="L485" i="2"/>
  <c r="L47" i="2"/>
  <c r="L211" i="2"/>
  <c r="L72" i="2"/>
  <c r="L241" i="2"/>
  <c r="L282" i="2"/>
  <c r="L443" i="2"/>
  <c r="L7" i="2"/>
  <c r="L97" i="2"/>
  <c r="L344" i="2"/>
  <c r="L461" i="2"/>
  <c r="L153" i="2"/>
  <c r="L498" i="2"/>
  <c r="L436" i="2"/>
  <c r="L15" i="2"/>
  <c r="L118" i="2"/>
  <c r="L352" i="2"/>
  <c r="L251" i="2"/>
  <c r="L270" i="2"/>
  <c r="L106" i="2"/>
  <c r="L123" i="2"/>
  <c r="L449" i="2"/>
  <c r="L490" i="2"/>
  <c r="L59" i="2"/>
  <c r="L395" i="2"/>
  <c r="L184" i="2"/>
  <c r="L429" i="2"/>
  <c r="L414" i="2"/>
  <c r="L130" i="2"/>
  <c r="L249" i="2"/>
  <c r="L217" i="2"/>
  <c r="L162" i="2"/>
  <c r="L400" i="2"/>
  <c r="L336" i="2"/>
  <c r="L178" i="2"/>
  <c r="L193" i="2"/>
  <c r="L340" i="2"/>
  <c r="L67" i="2"/>
  <c r="L112" i="2"/>
  <c r="L41" i="2"/>
  <c r="L304" i="2"/>
  <c r="L218" i="2"/>
  <c r="L377" i="2"/>
  <c r="L345" i="2"/>
  <c r="L372" i="2"/>
  <c r="L274" i="2"/>
  <c r="L186" i="2"/>
  <c r="L121" i="2"/>
  <c r="L473" i="2"/>
  <c r="L125" i="2"/>
  <c r="L243" i="2"/>
  <c r="L356" i="2"/>
  <c r="L314" i="2"/>
  <c r="L479" i="2"/>
  <c r="L179" i="2"/>
  <c r="L408" i="2"/>
  <c r="L444" i="2"/>
  <c r="L208" i="2"/>
  <c r="L406" i="2"/>
  <c r="L61" i="2"/>
  <c r="L57" i="2"/>
  <c r="L456" i="2"/>
  <c r="L199" i="2"/>
  <c r="L404" i="2"/>
  <c r="L37" i="2"/>
  <c r="L50" i="2"/>
  <c r="L483" i="2"/>
  <c r="L338" i="2"/>
  <c r="L25" i="2"/>
  <c r="L51" i="2"/>
  <c r="L9" i="2"/>
  <c r="L334" i="2"/>
  <c r="L353" i="2"/>
  <c r="L140" i="2"/>
  <c r="L195" i="2"/>
  <c r="L81" i="2"/>
  <c r="L21" i="2"/>
  <c r="L325" i="2"/>
  <c r="L472" i="2"/>
  <c r="L92" i="2"/>
  <c r="L157" i="2"/>
  <c r="L278" i="2"/>
  <c r="L263" i="2"/>
  <c r="L190" i="2"/>
  <c r="L389" i="2"/>
  <c r="L222" i="2"/>
  <c r="L30" i="2"/>
  <c r="L378" i="2"/>
  <c r="L86" i="2"/>
  <c r="L430" i="2"/>
  <c r="L149" i="2"/>
  <c r="L333" i="2"/>
  <c r="L322" i="2"/>
  <c r="L457" i="2"/>
  <c r="L277" i="2"/>
  <c r="L478" i="2"/>
  <c r="L137" i="2"/>
  <c r="L311" i="2"/>
  <c r="L160" i="2"/>
  <c r="L295" i="2"/>
  <c r="L390" i="2"/>
  <c r="L339" i="2"/>
  <c r="L355" i="2"/>
  <c r="L74" i="2"/>
  <c r="L297" i="2"/>
  <c r="L78" i="2"/>
  <c r="L115" i="2"/>
  <c r="L247" i="2"/>
  <c r="L181" i="2"/>
  <c r="L83" i="2"/>
  <c r="L454" i="2"/>
  <c r="L462" i="2"/>
  <c r="L381" i="2"/>
  <c r="L165" i="2"/>
  <c r="L90" i="2"/>
  <c r="L23" i="2"/>
  <c r="L301" i="2"/>
  <c r="L127" i="2"/>
  <c r="L46" i="2"/>
  <c r="L315" i="2"/>
  <c r="L42" i="2"/>
  <c r="L13" i="2"/>
  <c r="L16" i="2"/>
  <c r="L229" i="2"/>
  <c r="L237" i="2"/>
  <c r="L250" i="2"/>
  <c r="L85" i="2"/>
  <c r="L100" i="2"/>
  <c r="L309" i="2"/>
  <c r="L290" i="2"/>
  <c r="L265" i="2"/>
  <c r="L219" i="2"/>
  <c r="L27" i="2"/>
  <c r="L268" i="2"/>
  <c r="L391" i="2"/>
  <c r="L397" i="2"/>
  <c r="L262" i="2"/>
  <c r="L279" i="2"/>
  <c r="L62" i="2"/>
  <c r="L76" i="2"/>
  <c r="L197" i="2"/>
  <c r="L93" i="2"/>
  <c r="L343" i="2"/>
  <c r="L210" i="2"/>
  <c r="L458" i="2"/>
  <c r="L32" i="2"/>
  <c r="L393" i="2"/>
  <c r="L383" i="2"/>
  <c r="L329" i="2"/>
  <c r="L182" i="2"/>
  <c r="L291" i="2"/>
  <c r="L203" i="2"/>
  <c r="L138" i="2"/>
  <c r="L204" i="2"/>
  <c r="L289" i="2"/>
  <c r="L8" i="2"/>
  <c r="L415" i="2"/>
  <c r="L154" i="2"/>
  <c r="L284" i="2"/>
  <c r="L220" i="2"/>
  <c r="L221" i="2"/>
  <c r="L358" i="2"/>
  <c r="L14" i="2"/>
  <c r="L52" i="2"/>
  <c r="L19" i="2"/>
  <c r="L417" i="2"/>
  <c r="L396" i="2"/>
  <c r="L110" i="2"/>
  <c r="L213" i="2"/>
  <c r="L281" i="2"/>
  <c r="L136" i="2"/>
  <c r="L109" i="2"/>
  <c r="L499" i="2"/>
  <c r="L201" i="2"/>
  <c r="L151" i="2"/>
  <c r="L350" i="2"/>
  <c r="L146" i="2"/>
  <c r="L453" i="2"/>
  <c r="L323" i="2"/>
  <c r="L357" i="2"/>
  <c r="L234" i="2"/>
  <c r="L320" i="2"/>
  <c r="L312" i="2"/>
  <c r="L101" i="2"/>
  <c r="L303" i="2"/>
  <c r="L173" i="2"/>
  <c r="L192" i="2"/>
  <c r="L269" i="2"/>
  <c r="L382" i="2"/>
  <c r="L55" i="2"/>
  <c r="L142" i="2"/>
  <c r="L77" i="2"/>
  <c r="L128" i="2"/>
  <c r="L252" i="2"/>
  <c r="L232" i="2"/>
  <c r="L260" i="2"/>
  <c r="L223" i="2"/>
  <c r="L348" i="2"/>
  <c r="L446" i="2"/>
  <c r="L183" i="2"/>
  <c r="L493" i="2"/>
  <c r="L425" i="2"/>
  <c r="L202" i="2"/>
  <c r="L388" i="2"/>
  <c r="L445" i="2"/>
  <c r="L134" i="2"/>
  <c r="L158" i="2"/>
  <c r="L82" i="2"/>
  <c r="L466" i="2"/>
  <c r="L413" i="2"/>
  <c r="L175" i="2"/>
  <c r="L135" i="2"/>
  <c r="L418" i="2"/>
  <c r="L435" i="2"/>
  <c r="L238" i="2"/>
  <c r="L145" i="2"/>
  <c r="L94" i="2"/>
  <c r="L255" i="2"/>
  <c r="L427" i="2"/>
  <c r="L80" i="2"/>
  <c r="L185" i="2"/>
  <c r="L75" i="2"/>
  <c r="L316" i="2"/>
  <c r="L171" i="2"/>
  <c r="L271" i="2"/>
  <c r="L214" i="2"/>
  <c r="L161" i="2"/>
  <c r="L450" i="2"/>
  <c r="L68" i="2"/>
  <c r="L225" i="2"/>
  <c r="L385" i="2"/>
  <c r="L236" i="2"/>
  <c r="L11" i="2"/>
  <c r="L189" i="2"/>
  <c r="L313" i="2"/>
  <c r="L292" i="2"/>
  <c r="L17" i="2"/>
  <c r="L120" i="2"/>
  <c r="L402" i="2"/>
  <c r="L439" i="2"/>
  <c r="L248" i="2"/>
  <c r="L258" i="2"/>
  <c r="L370" i="2"/>
  <c r="L143" i="2"/>
  <c r="L56" i="2"/>
  <c r="L227" i="2"/>
  <c r="L48" i="2"/>
  <c r="L168" i="2"/>
  <c r="L410" i="2"/>
  <c r="L33" i="2"/>
  <c r="L10" i="2"/>
  <c r="L206" i="2"/>
  <c r="L365" i="2"/>
  <c r="L361" i="2"/>
  <c r="L359" i="2"/>
  <c r="L122" i="2"/>
  <c r="L215" i="2"/>
  <c r="L412" i="2"/>
  <c r="L132" i="2"/>
  <c r="L310" i="2"/>
  <c r="L156" i="2"/>
  <c r="L253" i="2"/>
  <c r="L379" i="2"/>
  <c r="L347" i="2"/>
  <c r="L226" i="2"/>
  <c r="L45" i="2"/>
  <c r="L216" i="2"/>
  <c r="L36" i="2"/>
  <c r="L492" i="2"/>
  <c r="L380" i="2"/>
  <c r="L244" i="2"/>
  <c r="L317" i="2"/>
  <c r="L267" i="2"/>
  <c r="L194" i="2"/>
  <c r="L53" i="2"/>
  <c r="L363" i="2"/>
  <c r="L331" i="2"/>
  <c r="L256" i="2"/>
  <c r="L459" i="2"/>
  <c r="L73" i="2"/>
  <c r="L245" i="2"/>
  <c r="L58" i="2"/>
  <c r="L84" i="2"/>
  <c r="L44" i="2"/>
  <c r="L28" i="2"/>
  <c r="L495" i="2"/>
  <c r="L70" i="2"/>
  <c r="L447" i="2"/>
  <c r="L298" i="2"/>
  <c r="L409" i="2"/>
  <c r="L126" i="2"/>
  <c r="L299" i="2"/>
  <c r="L324" i="2"/>
  <c r="L235" i="2"/>
  <c r="L420" i="2"/>
  <c r="L228" i="2"/>
  <c r="L437" i="2"/>
  <c r="L373" i="2"/>
  <c r="L335" i="2"/>
  <c r="L105" i="2"/>
  <c r="L405" i="2"/>
  <c r="L259" i="2"/>
  <c r="L433" i="2"/>
  <c r="L89" i="2"/>
  <c r="L155" i="2"/>
  <c r="L332" i="2"/>
  <c r="L38" i="2"/>
  <c r="L341" i="2"/>
  <c r="L288" i="2"/>
  <c r="L114" i="2"/>
  <c r="H186" i="2"/>
  <c r="H198" i="2"/>
  <c r="H6" i="2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200" i="2"/>
  <c r="H24" i="2"/>
  <c r="H40" i="2"/>
  <c r="H56" i="2"/>
  <c r="H72" i="2"/>
  <c r="H88" i="2"/>
  <c r="H104" i="2"/>
  <c r="H120" i="2"/>
  <c r="H187" i="2"/>
  <c r="H199" i="2"/>
  <c r="H7" i="2"/>
  <c r="H15" i="2"/>
  <c r="H23" i="2"/>
  <c r="H31" i="2"/>
  <c r="H39" i="2"/>
  <c r="H47" i="2"/>
  <c r="H55" i="2"/>
  <c r="H63" i="2"/>
  <c r="H71" i="2"/>
  <c r="H79" i="2"/>
  <c r="H87" i="2"/>
  <c r="H95" i="2"/>
  <c r="H103" i="2"/>
  <c r="H111" i="2"/>
  <c r="H119" i="2"/>
  <c r="H127" i="2"/>
  <c r="H135" i="2"/>
  <c r="H143" i="2"/>
  <c r="H151" i="2"/>
  <c r="H159" i="2"/>
  <c r="H167" i="2"/>
  <c r="H175" i="2"/>
  <c r="H183" i="2"/>
  <c r="H188" i="2"/>
  <c r="H8" i="2"/>
  <c r="H16" i="2"/>
  <c r="H32" i="2"/>
  <c r="H48" i="2"/>
  <c r="H64" i="2"/>
  <c r="H80" i="2"/>
  <c r="H96" i="2"/>
  <c r="H112" i="2"/>
  <c r="H191" i="2"/>
  <c r="H196" i="2"/>
  <c r="H4" i="2"/>
  <c r="H12" i="2"/>
  <c r="H20" i="2"/>
  <c r="H28" i="2"/>
  <c r="H36" i="2"/>
  <c r="H44" i="2"/>
  <c r="H52" i="2"/>
  <c r="H60" i="2"/>
  <c r="H68" i="2"/>
  <c r="H76" i="2"/>
  <c r="H84" i="2"/>
  <c r="H92" i="2"/>
  <c r="H100" i="2"/>
  <c r="H108" i="2"/>
  <c r="H116" i="2"/>
  <c r="H124" i="2"/>
  <c r="H132" i="2"/>
  <c r="H140" i="2"/>
  <c r="H148" i="2"/>
  <c r="H156" i="2"/>
  <c r="H164" i="2"/>
  <c r="H172" i="2"/>
  <c r="H180" i="2"/>
  <c r="H192" i="2"/>
  <c r="H197" i="2"/>
  <c r="H5" i="2"/>
  <c r="H13" i="2"/>
  <c r="H21" i="2"/>
  <c r="H29" i="2"/>
  <c r="H37" i="2"/>
  <c r="H45" i="2"/>
  <c r="H53" i="2"/>
  <c r="H61" i="2"/>
  <c r="H69" i="2"/>
  <c r="H77" i="2"/>
  <c r="H85" i="2"/>
  <c r="H93" i="2"/>
  <c r="H101" i="2"/>
  <c r="H190" i="2"/>
  <c r="H10" i="2"/>
  <c r="H33" i="2"/>
  <c r="H51" i="2"/>
  <c r="H74" i="2"/>
  <c r="H97" i="2"/>
  <c r="H114" i="2"/>
  <c r="H129" i="2"/>
  <c r="H141" i="2"/>
  <c r="H154" i="2"/>
  <c r="H168" i="2"/>
  <c r="H179" i="2"/>
  <c r="H11" i="2"/>
  <c r="H75" i="2"/>
  <c r="H115" i="2"/>
  <c r="H144" i="2"/>
  <c r="H169" i="2"/>
  <c r="H181" i="2"/>
  <c r="H17" i="2"/>
  <c r="H58" i="2"/>
  <c r="H99" i="2"/>
  <c r="H131" i="2"/>
  <c r="H157" i="2"/>
  <c r="H18" i="2"/>
  <c r="H105" i="2"/>
  <c r="H146" i="2"/>
  <c r="H185" i="2"/>
  <c r="H42" i="2"/>
  <c r="H122" i="2"/>
  <c r="H136" i="2"/>
  <c r="H173" i="2"/>
  <c r="H43" i="2"/>
  <c r="H123" i="2"/>
  <c r="H162" i="2"/>
  <c r="H193" i="2"/>
  <c r="H34" i="2"/>
  <c r="H57" i="2"/>
  <c r="H98" i="2"/>
  <c r="H130" i="2"/>
  <c r="H155" i="2"/>
  <c r="H194" i="2"/>
  <c r="H35" i="2"/>
  <c r="H81" i="2"/>
  <c r="H117" i="2"/>
  <c r="H145" i="2"/>
  <c r="H170" i="2"/>
  <c r="H195" i="2"/>
  <c r="H59" i="2"/>
  <c r="H121" i="2"/>
  <c r="H171" i="2"/>
  <c r="H19" i="2"/>
  <c r="H83" i="2"/>
  <c r="H147" i="2"/>
  <c r="H25" i="2"/>
  <c r="H89" i="2"/>
  <c r="H137" i="2"/>
  <c r="H176" i="2"/>
  <c r="H3" i="2"/>
  <c r="H26" i="2"/>
  <c r="H49" i="2"/>
  <c r="H67" i="2"/>
  <c r="H90" i="2"/>
  <c r="H109" i="2"/>
  <c r="H125" i="2"/>
  <c r="H138" i="2"/>
  <c r="H152" i="2"/>
  <c r="H163" i="2"/>
  <c r="H177" i="2"/>
  <c r="H9" i="2"/>
  <c r="H27" i="2"/>
  <c r="H50" i="2"/>
  <c r="H73" i="2"/>
  <c r="H91" i="2"/>
  <c r="H113" i="2"/>
  <c r="H128" i="2"/>
  <c r="H139" i="2"/>
  <c r="H153" i="2"/>
  <c r="H165" i="2"/>
  <c r="H178" i="2"/>
  <c r="H184" i="2"/>
  <c r="H41" i="2"/>
  <c r="H82" i="2"/>
  <c r="H133" i="2"/>
  <c r="H160" i="2"/>
  <c r="H1" i="2"/>
  <c r="H65" i="2"/>
  <c r="H106" i="2"/>
  <c r="H161" i="2"/>
  <c r="H2" i="2"/>
  <c r="H66" i="2"/>
  <c r="H107" i="2"/>
  <c r="H149" i="2"/>
  <c r="D1" i="2"/>
  <c r="D2" i="2"/>
  <c r="D3" i="2"/>
  <c r="D4" i="2"/>
  <c r="D5" i="2"/>
  <c r="D6" i="2"/>
  <c r="D7" i="2"/>
  <c r="D59" i="2"/>
  <c r="D123" i="2"/>
  <c r="D187" i="2"/>
  <c r="D101" i="2"/>
  <c r="D62" i="2"/>
  <c r="D190" i="2"/>
  <c r="D135" i="2"/>
  <c r="D36" i="2"/>
  <c r="D100" i="2"/>
  <c r="D164" i="2"/>
  <c r="D93" i="2"/>
  <c r="D14" i="2"/>
  <c r="D134" i="2"/>
  <c r="D63" i="2"/>
  <c r="D191" i="2"/>
  <c r="D56" i="2"/>
  <c r="D120" i="2"/>
  <c r="D184" i="2"/>
  <c r="D57" i="2"/>
  <c r="D121" i="2"/>
  <c r="D185" i="2"/>
  <c r="D58" i="2"/>
  <c r="D122" i="2"/>
  <c r="D186" i="2"/>
  <c r="D195" i="2"/>
  <c r="D67" i="2"/>
  <c r="D131" i="2"/>
  <c r="D197" i="2"/>
  <c r="D117" i="2"/>
  <c r="D78" i="2"/>
  <c r="D23" i="2"/>
  <c r="D151" i="2"/>
  <c r="D44" i="2"/>
  <c r="D108" i="2"/>
  <c r="D172" i="2"/>
  <c r="D109" i="2"/>
  <c r="D30" i="2"/>
  <c r="D150" i="2"/>
  <c r="D79" i="2"/>
  <c r="D200" i="2"/>
  <c r="D64" i="2"/>
  <c r="D128" i="2"/>
  <c r="D192" i="2"/>
  <c r="D65" i="2"/>
  <c r="D129" i="2"/>
  <c r="D193" i="2"/>
  <c r="D66" i="2"/>
  <c r="D130" i="2"/>
  <c r="D91" i="2"/>
  <c r="D37" i="2"/>
  <c r="D126" i="2"/>
  <c r="D196" i="2"/>
  <c r="D132" i="2"/>
  <c r="D157" i="2"/>
  <c r="D199" i="2"/>
  <c r="D24" i="2"/>
  <c r="D152" i="2"/>
  <c r="D89" i="2"/>
  <c r="D26" i="2"/>
  <c r="D154" i="2"/>
  <c r="D112" i="2"/>
  <c r="D113" i="2"/>
  <c r="D114" i="2"/>
  <c r="D11" i="2"/>
  <c r="D75" i="2"/>
  <c r="D139" i="2"/>
  <c r="D13" i="2"/>
  <c r="D133" i="2"/>
  <c r="D94" i="2"/>
  <c r="D39" i="2"/>
  <c r="D167" i="2"/>
  <c r="D52" i="2"/>
  <c r="D116" i="2"/>
  <c r="D180" i="2"/>
  <c r="D125" i="2"/>
  <c r="D38" i="2"/>
  <c r="D166" i="2"/>
  <c r="D95" i="2"/>
  <c r="D8" i="2"/>
  <c r="D72" i="2"/>
  <c r="D136" i="2"/>
  <c r="D9" i="2"/>
  <c r="D73" i="2"/>
  <c r="D137" i="2"/>
  <c r="D10" i="2"/>
  <c r="D74" i="2"/>
  <c r="D138" i="2"/>
  <c r="D19" i="2"/>
  <c r="D83" i="2"/>
  <c r="D147" i="2"/>
  <c r="D21" i="2"/>
  <c r="D149" i="2"/>
  <c r="D110" i="2"/>
  <c r="D55" i="2"/>
  <c r="D183" i="2"/>
  <c r="D60" i="2"/>
  <c r="D124" i="2"/>
  <c r="D188" i="2"/>
  <c r="D141" i="2"/>
  <c r="D54" i="2"/>
  <c r="D182" i="2"/>
  <c r="D111" i="2"/>
  <c r="D16" i="2"/>
  <c r="D80" i="2"/>
  <c r="D144" i="2"/>
  <c r="D17" i="2"/>
  <c r="D81" i="2"/>
  <c r="D145" i="2"/>
  <c r="D18" i="2"/>
  <c r="D82" i="2"/>
  <c r="D146" i="2"/>
  <c r="D27" i="2"/>
  <c r="D155" i="2"/>
  <c r="D165" i="2"/>
  <c r="D71" i="2"/>
  <c r="D68" i="2"/>
  <c r="D29" i="2"/>
  <c r="D70" i="2"/>
  <c r="D127" i="2"/>
  <c r="D88" i="2"/>
  <c r="D25" i="2"/>
  <c r="D153" i="2"/>
  <c r="D90" i="2"/>
  <c r="D175" i="2"/>
  <c r="D49" i="2"/>
  <c r="D50" i="2"/>
  <c r="D35" i="2"/>
  <c r="D99" i="2"/>
  <c r="D163" i="2"/>
  <c r="D53" i="2"/>
  <c r="D181" i="2"/>
  <c r="D142" i="2"/>
  <c r="D87" i="2"/>
  <c r="D12" i="2"/>
  <c r="D76" i="2"/>
  <c r="D140" i="2"/>
  <c r="D45" i="2"/>
  <c r="D173" i="2"/>
  <c r="D86" i="2"/>
  <c r="D15" i="2"/>
  <c r="D143" i="2"/>
  <c r="D32" i="2"/>
  <c r="D96" i="2"/>
  <c r="D160" i="2"/>
  <c r="D33" i="2"/>
  <c r="D97" i="2"/>
  <c r="D161" i="2"/>
  <c r="D34" i="2"/>
  <c r="D98" i="2"/>
  <c r="D162" i="2"/>
  <c r="D43" i="2"/>
  <c r="D107" i="2"/>
  <c r="D171" i="2"/>
  <c r="D69" i="2"/>
  <c r="D22" i="2"/>
  <c r="D158" i="2"/>
  <c r="D103" i="2"/>
  <c r="D20" i="2"/>
  <c r="D84" i="2"/>
  <c r="D148" i="2"/>
  <c r="D61" i="2"/>
  <c r="D189" i="2"/>
  <c r="D102" i="2"/>
  <c r="D31" i="2"/>
  <c r="D159" i="2"/>
  <c r="D40" i="2"/>
  <c r="D104" i="2"/>
  <c r="D168" i="2"/>
  <c r="D41" i="2"/>
  <c r="D105" i="2"/>
  <c r="D169" i="2"/>
  <c r="D42" i="2"/>
  <c r="D106" i="2"/>
  <c r="D170" i="2"/>
  <c r="D51" i="2"/>
  <c r="D115" i="2"/>
  <c r="D179" i="2"/>
  <c r="D85" i="2"/>
  <c r="D46" i="2"/>
  <c r="D174" i="2"/>
  <c r="D119" i="2"/>
  <c r="D28" i="2"/>
  <c r="D92" i="2"/>
  <c r="D156" i="2"/>
  <c r="D77" i="2"/>
  <c r="D198" i="2"/>
  <c r="D118" i="2"/>
  <c r="D47" i="2"/>
  <c r="D48" i="2"/>
  <c r="D176" i="2"/>
  <c r="D177" i="2"/>
  <c r="D178" i="2"/>
  <c r="D194" i="2"/>
  <c r="H189" i="2"/>
  <c r="E1" i="1" l="1"/>
</calcChain>
</file>

<file path=xl/sharedStrings.xml><?xml version="1.0" encoding="utf-8"?>
<sst xmlns="http://schemas.openxmlformats.org/spreadsheetml/2006/main" count="1033" uniqueCount="978">
  <si>
    <t>Units</t>
  </si>
  <si>
    <t>Part #</t>
  </si>
  <si>
    <t>Description</t>
  </si>
  <si>
    <t>Supplier</t>
  </si>
  <si>
    <t>Quote #</t>
  </si>
  <si>
    <t>Lead Time</t>
  </si>
  <si>
    <t>PO #</t>
  </si>
  <si>
    <t>Total</t>
  </si>
  <si>
    <t>Box</t>
  </si>
  <si>
    <t>In Stock</t>
  </si>
  <si>
    <t>A1 Trailer &amp; Truck Repair</t>
  </si>
  <si>
    <t>ea.</t>
  </si>
  <si>
    <t>1 Day</t>
  </si>
  <si>
    <t>ABF Freight</t>
  </si>
  <si>
    <t>Pkg.</t>
  </si>
  <si>
    <t>2 Days</t>
  </si>
  <si>
    <t>Sq. Ft.</t>
  </si>
  <si>
    <t>3 Days</t>
  </si>
  <si>
    <t>Lgth.</t>
  </si>
  <si>
    <t>4 Days</t>
  </si>
  <si>
    <t>Acoustic Solutions</t>
  </si>
  <si>
    <t>Ft.</t>
  </si>
  <si>
    <t>1 Week</t>
  </si>
  <si>
    <t>Action Office Interiors</t>
  </si>
  <si>
    <t>2 Weeks</t>
  </si>
  <si>
    <t>Aero Glass &amp; Mirror</t>
  </si>
  <si>
    <t>3 Weeks</t>
  </si>
  <si>
    <t>Air Liquide</t>
  </si>
  <si>
    <t>4 Weeks</t>
  </si>
  <si>
    <t>AMS Industries Ltd.</t>
  </si>
  <si>
    <t>5 Weeks</t>
  </si>
  <si>
    <t>APCO Industries Company Ltd.</t>
  </si>
  <si>
    <t>6 Weeks</t>
  </si>
  <si>
    <t>Apex</t>
  </si>
  <si>
    <t>7 Weeks</t>
  </si>
  <si>
    <t>Applied Industrial Technologies</t>
  </si>
  <si>
    <t>8 Weeks</t>
  </si>
  <si>
    <t>AR Williams</t>
  </si>
  <si>
    <t>10 Weeks</t>
  </si>
  <si>
    <t>ASA Alloys</t>
  </si>
  <si>
    <t>12 Weeks</t>
  </si>
  <si>
    <t>Associated Spring</t>
  </si>
  <si>
    <t>Atlas Industries</t>
  </si>
  <si>
    <t>B&amp;E</t>
  </si>
  <si>
    <t>Belterra</t>
  </si>
  <si>
    <t>Berendsen Fluid Power LTD</t>
  </si>
  <si>
    <t>Bolt Supply House</t>
  </si>
  <si>
    <t>Bosch Rexroth</t>
  </si>
  <si>
    <t>Cadorath Plating</t>
  </si>
  <si>
    <t>Canadian Composite Structures</t>
  </si>
  <si>
    <t>Canadian Tarpaulin</t>
  </si>
  <si>
    <t>Canadian Welding Bureau</t>
  </si>
  <si>
    <t>Carolina Conveying</t>
  </si>
  <si>
    <t>Carr Lane</t>
  </si>
  <si>
    <t>Castle Metals</t>
  </si>
  <si>
    <t>CenturyVallen</t>
  </si>
  <si>
    <t>Columbus McKinnon</t>
  </si>
  <si>
    <t>Commercial Sand Blasting</t>
  </si>
  <si>
    <t>Construction Fasteners and Tools</t>
  </si>
  <si>
    <t>Continental Imaging</t>
  </si>
  <si>
    <t>Conveyer &amp; Machine</t>
  </si>
  <si>
    <t>Custom Courier</t>
  </si>
  <si>
    <t>Custom Plate and Profiles</t>
  </si>
  <si>
    <t>Cypress Sales</t>
  </si>
  <si>
    <t>Daam Galvanizing (Provincial)</t>
  </si>
  <si>
    <t>DGI Supply</t>
  </si>
  <si>
    <t>DK-LOK Canada</t>
  </si>
  <si>
    <t>Eagleye</t>
  </si>
  <si>
    <t>Eaton - Vickers</t>
  </si>
  <si>
    <t>Ecco (Custom Metal Fabrication)</t>
  </si>
  <si>
    <t>Edmonton Exchanger</t>
  </si>
  <si>
    <t>Eecol Electric</t>
  </si>
  <si>
    <t>Ellenn Plastics</t>
  </si>
  <si>
    <t>Eriks Industrial Services (Goodall Rubber)</t>
  </si>
  <si>
    <t>Fabco Plastics Saskatoon Limited</t>
  </si>
  <si>
    <t>Fastenal Company</t>
  </si>
  <si>
    <t>Fastener Warehouse</t>
  </si>
  <si>
    <t>Fisher &amp; Ludlow</t>
  </si>
  <si>
    <t>Flaman</t>
  </si>
  <si>
    <t>Fort Gary Fire Trucks</t>
  </si>
  <si>
    <t>Fort Gary Industries</t>
  </si>
  <si>
    <t>G &amp; R welding(Powder Coating)</t>
  </si>
  <si>
    <t>Gates</t>
  </si>
  <si>
    <t>Globe Printers Ltd.</t>
  </si>
  <si>
    <t>Green Line</t>
  </si>
  <si>
    <t>Gregg Distributors</t>
  </si>
  <si>
    <t>Heidenhain</t>
  </si>
  <si>
    <t xml:space="preserve">Hilti </t>
  </si>
  <si>
    <t>Home Depot</t>
  </si>
  <si>
    <t>HyPower Systems</t>
  </si>
  <si>
    <t>HyPower Systems (Shop)</t>
  </si>
  <si>
    <t>Igus</t>
  </si>
  <si>
    <t>Imaginit (Autodesk)</t>
  </si>
  <si>
    <t>Inland Steel</t>
  </si>
  <si>
    <t>International Cordage</t>
  </si>
  <si>
    <t>International Paint</t>
  </si>
  <si>
    <t>Jalberts Propane</t>
  </si>
  <si>
    <t>Jaltronix Technologies</t>
  </si>
  <si>
    <t>JNE</t>
  </si>
  <si>
    <t>Johnston Industrial Plastics</t>
  </si>
  <si>
    <t>Kaller(Gas Spring Systems of Canada)</t>
  </si>
  <si>
    <t>Kinecor</t>
  </si>
  <si>
    <t>Kinematics Mfg.n Inc.</t>
  </si>
  <si>
    <t xml:space="preserve">Klassen Electric Motor </t>
  </si>
  <si>
    <t>Konecranes</t>
  </si>
  <si>
    <t>KVA Dynamo</t>
  </si>
  <si>
    <t>Landel Controls Ltd.</t>
  </si>
  <si>
    <t>Laser Impressions</t>
  </si>
  <si>
    <t>Lift Support technologies</t>
  </si>
  <si>
    <t>Little Rock Holdings</t>
  </si>
  <si>
    <t>Livingstone USA Broker</t>
  </si>
  <si>
    <t>Loraas Disposal</t>
  </si>
  <si>
    <t>Marmon/Keystone</t>
  </si>
  <si>
    <t>Massload</t>
  </si>
  <si>
    <t>McMASTER-CARR</t>
  </si>
  <si>
    <t>Medallion Pipe Supply</t>
  </si>
  <si>
    <t>Metallicut</t>
  </si>
  <si>
    <t>Monarch Industries</t>
  </si>
  <si>
    <t>Multicrete Systems</t>
  </si>
  <si>
    <t>New West Metals</t>
  </si>
  <si>
    <t>Northern Industrial</t>
  </si>
  <si>
    <t>Northern Strands</t>
  </si>
  <si>
    <t>Novatex Graphics</t>
  </si>
  <si>
    <t>Nu Tech</t>
  </si>
  <si>
    <t>Park Derochie</t>
  </si>
  <si>
    <t>Pillar Lasers</t>
  </si>
  <si>
    <t>Pinnacle Stainless</t>
  </si>
  <si>
    <t>Plastic &amp; Rubber Solutions</t>
  </si>
  <si>
    <t>Praxair</t>
  </si>
  <si>
    <t>Precision Electro Mechanical</t>
  </si>
  <si>
    <t>Precision Laser &amp; Fab</t>
  </si>
  <si>
    <t>Prince Hydraulics</t>
  </si>
  <si>
    <t>Princess Auto</t>
  </si>
  <si>
    <t>Pro AV</t>
  </si>
  <si>
    <t>Pro-Touch</t>
  </si>
  <si>
    <t>QPS Evaluation Services Inc.</t>
  </si>
  <si>
    <t>Quality Cutting Tools</t>
  </si>
  <si>
    <t>Redwood Plastics</t>
  </si>
  <si>
    <t>Reid Tool Supply</t>
  </si>
  <si>
    <t>Richmond Steel</t>
  </si>
  <si>
    <t>Ridsdale Transport</t>
  </si>
  <si>
    <t>Rolark Stainless Steel</t>
  </si>
  <si>
    <t>Rolled Alloys (Stainless)</t>
  </si>
  <si>
    <t>Rolled Threads Unlimited LLC</t>
  </si>
  <si>
    <t>Rosetown Flighting Supply</t>
  </si>
  <si>
    <t>Roughrider Rigging</t>
  </si>
  <si>
    <t>Russel Metals</t>
  </si>
  <si>
    <t>Russel Specialty Metals</t>
  </si>
  <si>
    <t>Ryerson</t>
  </si>
  <si>
    <t xml:space="preserve">Sandvic </t>
  </si>
  <si>
    <t>Saskatoon Boiler</t>
  </si>
  <si>
    <t>Saskatoon Custom Powder Coating</t>
  </si>
  <si>
    <t>Saskatoon Fluid Systems</t>
  </si>
  <si>
    <t>Saskatoon Metals</t>
  </si>
  <si>
    <t>Sealum Industries Ltd.</t>
  </si>
  <si>
    <t xml:space="preserve">Shear Fabrication </t>
  </si>
  <si>
    <t>Siemens Laserworks</t>
  </si>
  <si>
    <t>Skeans</t>
  </si>
  <si>
    <t>Smith Industries</t>
  </si>
  <si>
    <t>Snap-on</t>
  </si>
  <si>
    <t>Spaenaur</t>
  </si>
  <si>
    <t>Spartan Controls</t>
  </si>
  <si>
    <t>Springs &amp; Things</t>
  </si>
  <si>
    <t>Steel-Craft Door</t>
  </si>
  <si>
    <t>Steelmet Supply</t>
  </si>
  <si>
    <t>Sunsource Mobile</t>
  </si>
  <si>
    <t>Superior Safety</t>
  </si>
  <si>
    <t>Taylor Tool Works</t>
  </si>
  <si>
    <t>Team Tube</t>
  </si>
  <si>
    <t>Teds Power Tool Repair</t>
  </si>
  <si>
    <t>Thermex Metal Treating</t>
  </si>
  <si>
    <t>Tipco</t>
  </si>
  <si>
    <t>Trade Tech Inc</t>
  </si>
  <si>
    <t>Travers Tool Co. Inc.</t>
  </si>
  <si>
    <t>Trimay</t>
  </si>
  <si>
    <t>TS&amp;M Supply</t>
  </si>
  <si>
    <t>Varsteel</t>
  </si>
  <si>
    <t>Wainbee</t>
  </si>
  <si>
    <t>Wajax</t>
  </si>
  <si>
    <t>Walker's Auto &amp; Body Supplies</t>
  </si>
  <si>
    <t>Wallace Construction</t>
  </si>
  <si>
    <t>WD Plastics</t>
  </si>
  <si>
    <t>Wesco</t>
  </si>
  <si>
    <t>Western Spring &amp; Wire</t>
  </si>
  <si>
    <t>Westrans (Springs)</t>
  </si>
  <si>
    <t>Wide Flange Beam</t>
  </si>
  <si>
    <t>Wilkinson Steel</t>
  </si>
  <si>
    <t>Windsor Plywood</t>
  </si>
  <si>
    <t>Acklands</t>
  </si>
  <si>
    <t>Metalshapes</t>
  </si>
  <si>
    <t>Motion Industries</t>
  </si>
  <si>
    <t>Percy H Davis</t>
  </si>
  <si>
    <t>Russel Metals Specialty (Regina)</t>
  </si>
  <si>
    <t>Stonecor</t>
  </si>
  <si>
    <t>Surpresseur 4s Inc.</t>
  </si>
  <si>
    <t>Titan Products Group</t>
  </si>
  <si>
    <t>Unisource</t>
  </si>
  <si>
    <t>RMD Engineering</t>
  </si>
  <si>
    <t>Material</t>
  </si>
  <si>
    <t>Length</t>
  </si>
  <si>
    <t>Stock Number</t>
  </si>
  <si>
    <t>Part Numbers</t>
  </si>
  <si>
    <t>Stock Length</t>
  </si>
  <si>
    <t>Lengths</t>
  </si>
  <si>
    <t>Qty</t>
  </si>
  <si>
    <t>Kerf</t>
  </si>
  <si>
    <t>Job Number</t>
  </si>
  <si>
    <t xml:space="preserve"> Part Lgth</t>
  </si>
  <si>
    <t xml:space="preserve"> Price/Part</t>
  </si>
  <si>
    <t xml:space="preserve"> Order Date</t>
  </si>
  <si>
    <t>Westlund</t>
  </si>
  <si>
    <t>NA</t>
  </si>
  <si>
    <t>Galvanized</t>
  </si>
  <si>
    <t>Flat Bar</t>
  </si>
  <si>
    <t>Round Bar</t>
  </si>
  <si>
    <t>HSS</t>
  </si>
  <si>
    <t>S-Beam</t>
  </si>
  <si>
    <t>W-Beam</t>
  </si>
  <si>
    <t>Pipe</t>
  </si>
  <si>
    <t>Channel</t>
  </si>
  <si>
    <t>Structural</t>
  </si>
  <si>
    <t>Flat Profile</t>
  </si>
  <si>
    <t>Round Profile</t>
  </si>
  <si>
    <t>Angle</t>
  </si>
  <si>
    <t>3/4" X 3/4" X .125W</t>
  </si>
  <si>
    <t>1" X 1" X .125W</t>
  </si>
  <si>
    <t>1" X 1" X .188W</t>
  </si>
  <si>
    <t>1" X 1" X .250W</t>
  </si>
  <si>
    <t>1-1/4" X 1-1/4" X .125W</t>
  </si>
  <si>
    <t>1-1/4" X 1-1/4" X .188W</t>
  </si>
  <si>
    <t>1-1/4" X 1-1/4" X .250W</t>
  </si>
  <si>
    <t>1-1/2" X 1-1/2" X .125W</t>
  </si>
  <si>
    <t>1-1/2" X 1-1/2" X .188W</t>
  </si>
  <si>
    <t>1-1/2" X 1-1/2" X .250W</t>
  </si>
  <si>
    <t>1-3/4" X 1-3/4" X .188W</t>
  </si>
  <si>
    <t>2" X 1-1/2" X .188W</t>
  </si>
  <si>
    <t>2" X 1-1/2" X .250W</t>
  </si>
  <si>
    <t>2" X 2" X .125W</t>
  </si>
  <si>
    <t>2" X 2" X .188W</t>
  </si>
  <si>
    <t>2" X 2" X .250W</t>
  </si>
  <si>
    <t>2" X 2" X .375W</t>
  </si>
  <si>
    <t>2-1/2" X 2-1/2" X .188W</t>
  </si>
  <si>
    <t>2-1/2" X 2-1/2" X .250W</t>
  </si>
  <si>
    <t>2-1/2" X 2-1/2" X .375W</t>
  </si>
  <si>
    <t>3" X 2" X .188W</t>
  </si>
  <si>
    <t>3" X 2" X .250W</t>
  </si>
  <si>
    <t>3" X 2" X .375W</t>
  </si>
  <si>
    <t>3" X 3" X .188W</t>
  </si>
  <si>
    <t>3" X 3" X .250W</t>
  </si>
  <si>
    <t xml:space="preserve">3" X 3" X .375W </t>
  </si>
  <si>
    <t xml:space="preserve">3" X 3" X .500W </t>
  </si>
  <si>
    <t>3-1/2" X 3-1/2" X .250W</t>
  </si>
  <si>
    <t>3-1/2" X 3-1/2" X ..375W</t>
  </si>
  <si>
    <t xml:space="preserve">3-1/2" X 3-1/2" X .500W </t>
  </si>
  <si>
    <t>4" X 3" X .250W</t>
  </si>
  <si>
    <t>4" X 3" X .375W</t>
  </si>
  <si>
    <t>4" X 4" X .250W</t>
  </si>
  <si>
    <t>4" X 4" X .375W</t>
  </si>
  <si>
    <t>4" X 4" X .500W</t>
  </si>
  <si>
    <t>5" X 3" X .250W</t>
  </si>
  <si>
    <t>5" X 3" X .375W</t>
  </si>
  <si>
    <t xml:space="preserve">5" X 5" X .375W </t>
  </si>
  <si>
    <t xml:space="preserve">5" X 5" X .500W </t>
  </si>
  <si>
    <t>6" X 4" X .375W</t>
  </si>
  <si>
    <t>6" X 6" X .375W</t>
  </si>
  <si>
    <t>6" X 6" X .500W</t>
  </si>
  <si>
    <t>8" X 4" X .500W</t>
  </si>
  <si>
    <t>8" X 8" X .500W</t>
  </si>
  <si>
    <t>C 3 x 4.1 (C75 x 6)</t>
  </si>
  <si>
    <t>C 3 x 5 (C75 x 7)</t>
  </si>
  <si>
    <t>C 4 x 5.4 (C100 x 8)</t>
  </si>
  <si>
    <t>C 4 x 7.25 (C100 x 11)</t>
  </si>
  <si>
    <t>C 5 x 6.7 (C130 x 10)</t>
  </si>
  <si>
    <t>C 5 x 9 (C130 x 13)</t>
  </si>
  <si>
    <t>C 6 x 10.5 (C150 x 16)</t>
  </si>
  <si>
    <t>C 6 x 13 (C150 x 19)</t>
  </si>
  <si>
    <t>C 8 x 11.5 (C200 x 17)</t>
  </si>
  <si>
    <t>C 8 x 13.75 (C200 x 21)</t>
  </si>
  <si>
    <t>C 8 x 18.75 (C200 x 28)</t>
  </si>
  <si>
    <t>C 10 x 15.3 (C250 x 23)</t>
  </si>
  <si>
    <t>C 10 x 20 (C250 x 30)</t>
  </si>
  <si>
    <t>C 12 x 20.7 (C310 x 31)</t>
  </si>
  <si>
    <t>1/4" X 1"</t>
  </si>
  <si>
    <t>1/4" X 1-1/2"</t>
  </si>
  <si>
    <t>1/4" X 2"</t>
  </si>
  <si>
    <t xml:space="preserve">1/4" X 2-1/2" </t>
  </si>
  <si>
    <t>1/4" X 3"</t>
  </si>
  <si>
    <t>1/4" X 3-1/2"</t>
  </si>
  <si>
    <t>1/4" X 4"</t>
  </si>
  <si>
    <t>1/4" X 4-1/2"</t>
  </si>
  <si>
    <t xml:space="preserve">1/4" X 5" </t>
  </si>
  <si>
    <t>1/4" X 6"</t>
  </si>
  <si>
    <t>1/4" X 7"</t>
  </si>
  <si>
    <t>1/4" X 8"</t>
  </si>
  <si>
    <t>3/8" X 1"</t>
  </si>
  <si>
    <t>3/8" X 1-1/2"</t>
  </si>
  <si>
    <t>3/8" X 2"</t>
  </si>
  <si>
    <t xml:space="preserve">3/8" X 2-1/2" </t>
  </si>
  <si>
    <t>3/8" X 3"</t>
  </si>
  <si>
    <t>3/8" X 3-1/2"</t>
  </si>
  <si>
    <t>3/8" X 4"</t>
  </si>
  <si>
    <t>3/8" X 4-1/2"</t>
  </si>
  <si>
    <t xml:space="preserve">3/8" X 5" </t>
  </si>
  <si>
    <t>3/8" X 6"</t>
  </si>
  <si>
    <t>3/8" X 7"</t>
  </si>
  <si>
    <t>3/8" X 8"</t>
  </si>
  <si>
    <t>1/2" X 1"</t>
  </si>
  <si>
    <t>1/2" X 1-1/2"</t>
  </si>
  <si>
    <t>1/2" X 2"</t>
  </si>
  <si>
    <t xml:space="preserve">1/2" X 2-1/2" </t>
  </si>
  <si>
    <t>1/2" X 3"</t>
  </si>
  <si>
    <t>1/2" X 3-1/2"</t>
  </si>
  <si>
    <t>1/2" X 4"</t>
  </si>
  <si>
    <t>1/2" X 4-1/2"</t>
  </si>
  <si>
    <t xml:space="preserve">1/2" X 5" </t>
  </si>
  <si>
    <t>1/2" X 6"</t>
  </si>
  <si>
    <t>1/2" X 7"</t>
  </si>
  <si>
    <t>1/2" X 8"</t>
  </si>
  <si>
    <t>1/2" X 10"</t>
  </si>
  <si>
    <t>5/8" X 1"</t>
  </si>
  <si>
    <t>5/8" X 1-1/2"</t>
  </si>
  <si>
    <t>5/8" X 2"</t>
  </si>
  <si>
    <t xml:space="preserve">5/8" X 2-1/2" </t>
  </si>
  <si>
    <t>5/8" X 3"</t>
  </si>
  <si>
    <t>5/8" X 3-1/2"</t>
  </si>
  <si>
    <t>5/8" X 4"</t>
  </si>
  <si>
    <t>5/8" X 4-1/2"</t>
  </si>
  <si>
    <t xml:space="preserve">5/8" X 5" </t>
  </si>
  <si>
    <t>5/8" X 6"</t>
  </si>
  <si>
    <t>5/8" X 7"</t>
  </si>
  <si>
    <t>5/8" X 8"</t>
  </si>
  <si>
    <t>5/8" X 10"</t>
  </si>
  <si>
    <t>3/4" X 1"</t>
  </si>
  <si>
    <t>3/4" X 1-1/2"</t>
  </si>
  <si>
    <t>3/4" X 2"</t>
  </si>
  <si>
    <t xml:space="preserve">3/4" X 2-1/2" </t>
  </si>
  <si>
    <t>3/4" X 3"</t>
  </si>
  <si>
    <t>3/4" X 3-1/2"</t>
  </si>
  <si>
    <t>3/4" X 4"</t>
  </si>
  <si>
    <t>3/4" X 4-1/2"</t>
  </si>
  <si>
    <t xml:space="preserve">3/4" X 5" </t>
  </si>
  <si>
    <t>3/4" X 6"</t>
  </si>
  <si>
    <t>3/4" X 7"</t>
  </si>
  <si>
    <t>3/4" X 8"</t>
  </si>
  <si>
    <t>3/4" X 10"</t>
  </si>
  <si>
    <t>1" X 1-1/2"</t>
  </si>
  <si>
    <t>1" X 2"</t>
  </si>
  <si>
    <t xml:space="preserve">1" X 2-1/2" </t>
  </si>
  <si>
    <t>1" X 3"</t>
  </si>
  <si>
    <t>1" X 3-1/2"</t>
  </si>
  <si>
    <t>1" X 4"</t>
  </si>
  <si>
    <t>1" X 4-1/2"</t>
  </si>
  <si>
    <t xml:space="preserve">1" X 5" </t>
  </si>
  <si>
    <t>1" X 6"</t>
  </si>
  <si>
    <t>1" X 7"</t>
  </si>
  <si>
    <t>1" X 8"</t>
  </si>
  <si>
    <t>1" X 10"</t>
  </si>
  <si>
    <t>1/2" X 1/2" X 16 GA</t>
  </si>
  <si>
    <t>3/4" X 3/4" X 16 GA</t>
  </si>
  <si>
    <t>1" X 1" X 16 GA</t>
  </si>
  <si>
    <t>1" X 1" X .100W</t>
  </si>
  <si>
    <t>1-1/4" X 1-1/4" X 16 GA</t>
  </si>
  <si>
    <t>1-1/4" X 1-1/4" X .100W</t>
  </si>
  <si>
    <t>1-1/2" X 1-1/2" X .100W</t>
  </si>
  <si>
    <t>2" X 1" X .100W</t>
  </si>
  <si>
    <t>2" X 1" X .125W</t>
  </si>
  <si>
    <t>2" X 2" X .100W</t>
  </si>
  <si>
    <t>2-1/2" X 2-1/2" X .125W</t>
  </si>
  <si>
    <t>2-1/2" X 2-1/2" X .238W (Hitch Reciever)</t>
  </si>
  <si>
    <t>3" X 1-1/2" X .125W</t>
  </si>
  <si>
    <t>3" X 1-1/2" X .188W</t>
  </si>
  <si>
    <t>3" X 2" X .125W</t>
  </si>
  <si>
    <t>3" X 3" X .125W</t>
  </si>
  <si>
    <t>3-1/2" X 3-1/2" X .125W</t>
  </si>
  <si>
    <t>4" X 2" X .125W</t>
  </si>
  <si>
    <t>4" X 2" X .188W</t>
  </si>
  <si>
    <t>4" X 2" X .250W</t>
  </si>
  <si>
    <t>4" X 3" X .125W</t>
  </si>
  <si>
    <t>4" X 3" X .188W</t>
  </si>
  <si>
    <t>4" X 4" X .125W</t>
  </si>
  <si>
    <t>4" X 4" X .188W</t>
  </si>
  <si>
    <t>5" X 3" X .188W</t>
  </si>
  <si>
    <t>5" X 5" X .188W</t>
  </si>
  <si>
    <t>5" X 5" X .250W</t>
  </si>
  <si>
    <t>6" X 2" X .188W</t>
  </si>
  <si>
    <t>6" X 2" X .250W</t>
  </si>
  <si>
    <t>6" X 3" X .188W</t>
  </si>
  <si>
    <t>6" X 3" X .250W</t>
  </si>
  <si>
    <t>6" X 4" X .188W</t>
  </si>
  <si>
    <t>6" X 4" X .250W</t>
  </si>
  <si>
    <t xml:space="preserve">6" X 6" X .250W </t>
  </si>
  <si>
    <t>8" X 2" X .188W</t>
  </si>
  <si>
    <t>8" X 4" X .188W</t>
  </si>
  <si>
    <t>8" X 4" X .250W</t>
  </si>
  <si>
    <t>8" X 6" X .250W</t>
  </si>
  <si>
    <t>8" X 8" X .250W</t>
  </si>
  <si>
    <t>8" X 8" X .375W</t>
  </si>
  <si>
    <t xml:space="preserve">10" X 4" X .250W </t>
  </si>
  <si>
    <t>10" X 6" X .250W</t>
  </si>
  <si>
    <t>10" X 6" X .375W</t>
  </si>
  <si>
    <t>10" X 6" X .500W</t>
  </si>
  <si>
    <t>10" X 10" X .250W</t>
  </si>
  <si>
    <t>10" X 10" X .375W</t>
  </si>
  <si>
    <t>12" X 8" X .375W</t>
  </si>
  <si>
    <t>12" X 12" X .375W</t>
  </si>
  <si>
    <t>12" X 12" X .500W</t>
  </si>
  <si>
    <t>Hyd Tube</t>
  </si>
  <si>
    <t>3/16" X .028</t>
  </si>
  <si>
    <t>3/16" X .035</t>
  </si>
  <si>
    <t>3/16" X .049</t>
  </si>
  <si>
    <t>1/4" X .028</t>
  </si>
  <si>
    <t>1/4" X .035</t>
  </si>
  <si>
    <t>1/4" X .049</t>
  </si>
  <si>
    <t xml:space="preserve">1/4" X .065 </t>
  </si>
  <si>
    <t xml:space="preserve">5/16" X .035 </t>
  </si>
  <si>
    <t xml:space="preserve">5/16" X .049 </t>
  </si>
  <si>
    <t xml:space="preserve">5/16" X .065 </t>
  </si>
  <si>
    <t>3/8" X .035</t>
  </si>
  <si>
    <t>3/8" X .049</t>
  </si>
  <si>
    <t>3/8" X .065</t>
  </si>
  <si>
    <t xml:space="preserve">1/2" X .035 </t>
  </si>
  <si>
    <t>1/2" X .049</t>
  </si>
  <si>
    <t xml:space="preserve">1/2" X .065 </t>
  </si>
  <si>
    <t>1/2" X .083</t>
  </si>
  <si>
    <t xml:space="preserve">5/8" X .035 </t>
  </si>
  <si>
    <t>5/8" X .049</t>
  </si>
  <si>
    <t>5/8" X .065</t>
  </si>
  <si>
    <t>5/8" X .083</t>
  </si>
  <si>
    <t>5/8" X .095</t>
  </si>
  <si>
    <t>3/4" X .049</t>
  </si>
  <si>
    <t>3/4" X .065</t>
  </si>
  <si>
    <t xml:space="preserve">3/4" X .095 </t>
  </si>
  <si>
    <t>3/4" X .109</t>
  </si>
  <si>
    <t>1" X .035</t>
  </si>
  <si>
    <t>1" X .049</t>
  </si>
  <si>
    <t>1" X .065</t>
  </si>
  <si>
    <t>1" X .095</t>
  </si>
  <si>
    <t>1" X .109</t>
  </si>
  <si>
    <t>1" X .120</t>
  </si>
  <si>
    <t>1-1/4" X .065</t>
  </si>
  <si>
    <t>1-1/4" X .083</t>
  </si>
  <si>
    <t>1-1/4" X .095</t>
  </si>
  <si>
    <t>1-1/4" X .109</t>
  </si>
  <si>
    <t xml:space="preserve">1-1/4" X .120 </t>
  </si>
  <si>
    <t>1-1/4" X .134</t>
  </si>
  <si>
    <t>1-1/4" X .156</t>
  </si>
  <si>
    <t>1-1/2" X .065</t>
  </si>
  <si>
    <t>1-1/2" X .083</t>
  </si>
  <si>
    <t>1-1/2" X .095</t>
  </si>
  <si>
    <t>1-1/2" X .109</t>
  </si>
  <si>
    <t xml:space="preserve">1-1/2" X .120 </t>
  </si>
  <si>
    <t>1-1/2" X .134</t>
  </si>
  <si>
    <t>1-1/2" X .156</t>
  </si>
  <si>
    <t>1-1/2" X .188</t>
  </si>
  <si>
    <t>2" X .109</t>
  </si>
  <si>
    <t xml:space="preserve">2" X .120 </t>
  </si>
  <si>
    <t>2" X .134</t>
  </si>
  <si>
    <t>2" X .156</t>
  </si>
  <si>
    <t>2" X .188</t>
  </si>
  <si>
    <t>1/8 NPS Sch 10</t>
  </si>
  <si>
    <t>1/8 NPS Sch 40 (Std.)</t>
  </si>
  <si>
    <t>1/8 NPS Sch 80 (XH)</t>
  </si>
  <si>
    <t>1/4 NPS Sch 10</t>
  </si>
  <si>
    <t>1/4 NPS Sch 40 (Std.)</t>
  </si>
  <si>
    <t>1/4 NPS Sch 80 (XH)</t>
  </si>
  <si>
    <t>3/8 NPS  Sch 10</t>
  </si>
  <si>
    <t>3/8 NPS Sch 40 (Std.)</t>
  </si>
  <si>
    <t>3/8 NPS Sch 80 (XH)</t>
  </si>
  <si>
    <t>1/2 NPS Sch 10</t>
  </si>
  <si>
    <t>1/2 NPS Sch 40 (Std.)</t>
  </si>
  <si>
    <t>1/2 NPS Sch 80 (XH)</t>
  </si>
  <si>
    <t>3/4 NPS  Sch 10</t>
  </si>
  <si>
    <t>3/4 NPS Sch 40 (Std.)</t>
  </si>
  <si>
    <t>3/4  NPS Sch 80 (XH)</t>
  </si>
  <si>
    <t>1 NPS Sch 10</t>
  </si>
  <si>
    <t>1 NPS Sch 40 (Std.)</t>
  </si>
  <si>
    <t>1 NPS Sch 80 (XH)</t>
  </si>
  <si>
    <t>1-1/4 NPS Sch 10</t>
  </si>
  <si>
    <t>1-1/4 NPS Sch 40 (Std.)</t>
  </si>
  <si>
    <t>1-1/4 NPS Sch 80 (XH)</t>
  </si>
  <si>
    <t>1-1/2 NPS  Sch 10</t>
  </si>
  <si>
    <t>1-1/2 NPS Sch 40 (Std.)</t>
  </si>
  <si>
    <t>1-1/2 NPS Sch 80 (XH)</t>
  </si>
  <si>
    <t>2 NPS Sch 10</t>
  </si>
  <si>
    <t>2 NPS  Sch 40 (Std.)</t>
  </si>
  <si>
    <t>2 NPS Sch 80 (XH)</t>
  </si>
  <si>
    <t>2-1/2 NPS Sch 10</t>
  </si>
  <si>
    <t>2-1/2 NPS Sch 40 (Std.)</t>
  </si>
  <si>
    <t>2-1/2 NPS Sch 80 (XH)</t>
  </si>
  <si>
    <t>3 NPS Sch 10</t>
  </si>
  <si>
    <t>3 NPS Sch 40 (Std.)</t>
  </si>
  <si>
    <t>3 NPS Sch 80 (XH)</t>
  </si>
  <si>
    <t>3-1/2 NPS Sch 10</t>
  </si>
  <si>
    <t>3-1/2 NPS Sch 40 (Std.)</t>
  </si>
  <si>
    <t>3-1/2 NPS Sch 80 (XH)</t>
  </si>
  <si>
    <t>4 NPS Sch 10</t>
  </si>
  <si>
    <t>4 NPS Sch 40 (Std.)</t>
  </si>
  <si>
    <t>4 NPS Sch 80 (XH)</t>
  </si>
  <si>
    <t>4-1/2 NPS Sch 40 (Std.)</t>
  </si>
  <si>
    <t>4-1/2 NPS Sch 80 (XH)</t>
  </si>
  <si>
    <t>5 NPS Sch 10</t>
  </si>
  <si>
    <t>5 NPS Sch 40 (Std.)</t>
  </si>
  <si>
    <t>5 NPS Sch 80 (XH)</t>
  </si>
  <si>
    <t>6 NPS Sch 10</t>
  </si>
  <si>
    <t>6 NPS Sch 40 (Std.)</t>
  </si>
  <si>
    <t>6 NPS Sch 80 (XH)</t>
  </si>
  <si>
    <t>8 NPS Sch 10</t>
  </si>
  <si>
    <t>8 NPS Sch 40 (Std.)</t>
  </si>
  <si>
    <t>8 NPS Sch 80 (XH)</t>
  </si>
  <si>
    <t>10 NPS Sch 10</t>
  </si>
  <si>
    <t>10 NPS Sch 40 (Std.)</t>
  </si>
  <si>
    <t>10 NPS Sch 60 (XH)</t>
  </si>
  <si>
    <t>10 NPS Sch 80</t>
  </si>
  <si>
    <t>12 NPS Sch 10</t>
  </si>
  <si>
    <r>
      <t xml:space="preserve">12 NPS  </t>
    </r>
    <r>
      <rPr>
        <sz val="11"/>
        <rFont val="Calibri"/>
        <family val="2"/>
      </rPr>
      <t>Std.</t>
    </r>
  </si>
  <si>
    <t>12 NPS Sch 40</t>
  </si>
  <si>
    <r>
      <t xml:space="preserve">12 NPS </t>
    </r>
    <r>
      <rPr>
        <sz val="11"/>
        <rFont val="Calibri"/>
        <family val="2"/>
      </rPr>
      <t>XH</t>
    </r>
  </si>
  <si>
    <t>12 NPS Sch 80</t>
  </si>
  <si>
    <t>14 NPS Sch 10</t>
  </si>
  <si>
    <t>14 NPS Sch 30 (Std.)</t>
  </si>
  <si>
    <t>14 NPS Sch 40</t>
  </si>
  <si>
    <r>
      <t>14 NPS</t>
    </r>
    <r>
      <rPr>
        <sz val="11"/>
        <rFont val="Calibri"/>
        <family val="2"/>
      </rPr>
      <t xml:space="preserve"> XH</t>
    </r>
  </si>
  <si>
    <t>14 NPS Sch 80</t>
  </si>
  <si>
    <t>16 NPS Sch 10</t>
  </si>
  <si>
    <t>16 NPS Sch 30 (Std.)</t>
  </si>
  <si>
    <t>16 NPS Sch 40 (XH)</t>
  </si>
  <si>
    <t>16 NPS Sch 80</t>
  </si>
  <si>
    <t>18 NPS Sch 10</t>
  </si>
  <si>
    <r>
      <t xml:space="preserve">18 NPS </t>
    </r>
    <r>
      <rPr>
        <sz val="11"/>
        <rFont val="Calibri"/>
        <family val="2"/>
      </rPr>
      <t>Std.</t>
    </r>
  </si>
  <si>
    <r>
      <t xml:space="preserve">18 NPS </t>
    </r>
    <r>
      <rPr>
        <sz val="11"/>
        <rFont val="Calibri"/>
        <family val="2"/>
      </rPr>
      <t>XH</t>
    </r>
  </si>
  <si>
    <t>18 NPS Sch 40</t>
  </si>
  <si>
    <t>18 NPS Sch 80</t>
  </si>
  <si>
    <t>20 NPS Sch 10</t>
  </si>
  <si>
    <t>20 NPS Sch 20 (Std.)</t>
  </si>
  <si>
    <t>20 NPS Sch 30 (XH)</t>
  </si>
  <si>
    <t>20 NPS Sch 40</t>
  </si>
  <si>
    <t>20 NPS Sch 80</t>
  </si>
  <si>
    <t>24 NPS Sch 10</t>
  </si>
  <si>
    <t>24 NPS Sch 20 (Std.)</t>
  </si>
  <si>
    <r>
      <t xml:space="preserve">24 NPS </t>
    </r>
    <r>
      <rPr>
        <sz val="11"/>
        <rFont val="Calibri"/>
        <family val="2"/>
      </rPr>
      <t>XH</t>
    </r>
  </si>
  <si>
    <t>24 NPS Sch 40</t>
  </si>
  <si>
    <t>24 NPS Sch 80</t>
  </si>
  <si>
    <t>S4 X 7.7 (S100 x 11)</t>
  </si>
  <si>
    <t>S5 X 10 (S130 x 15)</t>
  </si>
  <si>
    <t>S6 X 12.5 (S150 X 19)</t>
  </si>
  <si>
    <t>S8 X 18.4 (S200 x 27)</t>
  </si>
  <si>
    <t>S10 X 25.4 (S250 x 38)</t>
  </si>
  <si>
    <t>S12 X 31.8 (S310 x 47)</t>
  </si>
  <si>
    <t>W 4 x 13 (W100 x 19)</t>
  </si>
  <si>
    <t>W 6 x 12 (W150 x 18)</t>
  </si>
  <si>
    <t>W 6 x 15 (W150 x 22)</t>
  </si>
  <si>
    <t>W 6 x 20 (W150 x 30)</t>
  </si>
  <si>
    <t>W 6 x 25 (W150 x 37)</t>
  </si>
  <si>
    <t>W 8 x 18 (W200 x 27)</t>
  </si>
  <si>
    <t>W 8 x 21 (W200 x 31)</t>
  </si>
  <si>
    <t>W 8 x 24 (W200 x 36)</t>
  </si>
  <si>
    <t>W 8 x 28 (W200 x 42)</t>
  </si>
  <si>
    <t>W 8 x 31 (W200 x 46)</t>
  </si>
  <si>
    <t>W 8 x 35 (W200 x 52)</t>
  </si>
  <si>
    <t>W 8 x 40 (W200 x 60)</t>
  </si>
  <si>
    <t>W 10 x 22 (W250 x 33)</t>
  </si>
  <si>
    <t>W 10 x 26 (W250 x 39)</t>
  </si>
  <si>
    <t>W 10 x 30 (W250 x 45)</t>
  </si>
  <si>
    <t>W 10 x 33 (W250 x 49)</t>
  </si>
  <si>
    <t>W 10 x 39 (W250 x 58)</t>
  </si>
  <si>
    <t>W 12 x 26 (W310 x 39)</t>
  </si>
  <si>
    <t>W 12 x 30 (W310 x 45)</t>
  </si>
  <si>
    <t>W 12 x 35 (W310 x 52)</t>
  </si>
  <si>
    <t>W 12 x 40 (W310 x 60)</t>
  </si>
  <si>
    <t>W 12 x 45 (W310 x 67)</t>
  </si>
  <si>
    <t>W 12 x 50 (W310 x 74)</t>
  </si>
  <si>
    <t>W 12 x 53 (W310 x 79)</t>
  </si>
  <si>
    <t>W 12 x 58 (W310 x 86)</t>
  </si>
  <si>
    <t>W 14 x 22 (W360 x 33)</t>
  </si>
  <si>
    <t>W 14 x 26 (W360 x 39)</t>
  </si>
  <si>
    <t>W 16 x 26 (W410 x 39)</t>
  </si>
  <si>
    <t>W 16 x 31 (W410 x 46)</t>
  </si>
  <si>
    <t>W 16 x 36 (W410 x 54)</t>
  </si>
  <si>
    <t>W 16 x 40 (W410 x 60)</t>
  </si>
  <si>
    <t>W 16 x 45 (W410 x 67)</t>
  </si>
  <si>
    <t>W 18 x 35 (W460 x 52)</t>
  </si>
  <si>
    <t>W 18 x 40 (W460 x 60)</t>
  </si>
  <si>
    <t>W 18 x 50 (W460 x 74)</t>
  </si>
  <si>
    <t>W 24 x 68 (W610 x 101)</t>
  </si>
  <si>
    <t>W 24 x 76 (W610 x 113)</t>
  </si>
  <si>
    <t>1/4"</t>
  </si>
  <si>
    <t>3/8"</t>
  </si>
  <si>
    <t>1/2"</t>
  </si>
  <si>
    <t>5/8"</t>
  </si>
  <si>
    <t>5/16"</t>
  </si>
  <si>
    <t>3/4"</t>
  </si>
  <si>
    <t>7/8'</t>
  </si>
  <si>
    <t>2-1/2"</t>
  </si>
  <si>
    <t>1"</t>
  </si>
  <si>
    <t>1-1/4"</t>
  </si>
  <si>
    <t>1-1/2"</t>
  </si>
  <si>
    <t>2"</t>
  </si>
  <si>
    <t>1-3/4"</t>
  </si>
  <si>
    <t>3"</t>
  </si>
  <si>
    <t>3-1/2"</t>
  </si>
  <si>
    <t>4"</t>
  </si>
  <si>
    <t>4-1/2"</t>
  </si>
  <si>
    <t>5"</t>
  </si>
  <si>
    <t>1/2" X 1/2" X 18 GA</t>
  </si>
  <si>
    <t>5/8" X 5/8" X 16 GA</t>
  </si>
  <si>
    <t>5/8" X 5/8" X 18 GA</t>
  </si>
  <si>
    <t>3/4" X 3/4" X 18 GA</t>
  </si>
  <si>
    <t>7/8" X 7/8" X 16 GA</t>
  </si>
  <si>
    <t>7/8" X 7/8" X 18 GA</t>
  </si>
  <si>
    <t>1" X 1" X 18GA</t>
  </si>
  <si>
    <t>1" X 1" X 14 GA</t>
  </si>
  <si>
    <t>1" X 1" X .083W</t>
  </si>
  <si>
    <t>1-1/4" X 1-1/4" X 18GA</t>
  </si>
  <si>
    <t>1-1/2" X 1-1/2" X 18GA</t>
  </si>
  <si>
    <t>1-1/2" X 1-1/2" X 16 GA</t>
  </si>
  <si>
    <t>1-1/2" X 1-1/2" X .083W</t>
  </si>
  <si>
    <t>1-1/2" X 1-1/2" X .150W</t>
  </si>
  <si>
    <t>2" X 1" X .083W</t>
  </si>
  <si>
    <t>2" X 2" X .110W</t>
  </si>
  <si>
    <t>2" X 2" X .150W</t>
  </si>
  <si>
    <t>2-1/2" X 2-1/2" X .150W</t>
  </si>
  <si>
    <t>2-1/2" X 2-1/2" X .215W</t>
  </si>
  <si>
    <t>3" X 1" X .100W</t>
  </si>
  <si>
    <t>3" X 1" X .125W</t>
  </si>
  <si>
    <t>3" X 1" X .188W</t>
  </si>
  <si>
    <t>3" X 1" X .250W</t>
  </si>
  <si>
    <t>3" X 1-1/2" X .100W</t>
  </si>
  <si>
    <t>3" X 2" X .100W</t>
  </si>
  <si>
    <t>3" X 2" X .150W</t>
  </si>
  <si>
    <t>3" X 3" X .150W</t>
  </si>
  <si>
    <t>3" X 3" X .312W</t>
  </si>
  <si>
    <t>3" X 3" X .375W</t>
  </si>
  <si>
    <t>3-1/2" X 3-1/2" X .150W</t>
  </si>
  <si>
    <t>3-1/2" X 2-1/2" X .188W</t>
  </si>
  <si>
    <t>3-1/2" X 2-1/2" X .250W</t>
  </si>
  <si>
    <t>3-1/2" X 3-1/2" X .312W</t>
  </si>
  <si>
    <t>3-1/2" X 3-1/2" X .375W</t>
  </si>
  <si>
    <t>4" X 2" X .150W</t>
  </si>
  <si>
    <t>4" X 3" X .150W</t>
  </si>
  <si>
    <t>4" X 4" X .312W</t>
  </si>
  <si>
    <t>5" X 2" X .125W</t>
  </si>
  <si>
    <t>5" X 2" X .188W</t>
  </si>
  <si>
    <t>5" X 2" X .250W</t>
  </si>
  <si>
    <t>5" X 2" X .375W</t>
  </si>
  <si>
    <t>5" X 3" X .312W</t>
  </si>
  <si>
    <t>5" X 5" X .312W</t>
  </si>
  <si>
    <t>6" X 2" X .125W</t>
  </si>
  <si>
    <t>6" X 2" X .312W</t>
  </si>
  <si>
    <t>6" X 2" X .375W</t>
  </si>
  <si>
    <t>6" X 3" X .312W</t>
  </si>
  <si>
    <t>6" X 3" X .375W</t>
  </si>
  <si>
    <t>6" X 4" X .312W</t>
  </si>
  <si>
    <t>6" X 4" X .500W</t>
  </si>
  <si>
    <t>6" X 6" X .188W</t>
  </si>
  <si>
    <t>6" X 6" X .312W</t>
  </si>
  <si>
    <t>6" X 6" X .438W</t>
  </si>
  <si>
    <t>7" X 5" X .188W</t>
  </si>
  <si>
    <t>7" X 5" X .250W</t>
  </si>
  <si>
    <t>7" X 5" X .312W</t>
  </si>
  <si>
    <t>7" X 5" X .375W</t>
  </si>
  <si>
    <t>7" X 5" X .500W</t>
  </si>
  <si>
    <t>7" X 7" X .188W</t>
  </si>
  <si>
    <t>7" X 7" X .250W</t>
  </si>
  <si>
    <t>7" X 7" X .312W</t>
  </si>
  <si>
    <t>7" X 7" X .375W</t>
  </si>
  <si>
    <t>7" X 7" X .500W</t>
  </si>
  <si>
    <t>8" X 2" X .250W</t>
  </si>
  <si>
    <t>8" X 2" X .375W</t>
  </si>
  <si>
    <t>8" X 3" X .188W</t>
  </si>
  <si>
    <t>8" X 3" X .250W</t>
  </si>
  <si>
    <t>8" X 3" X .375W</t>
  </si>
  <si>
    <t>8" X 4" X .312W</t>
  </si>
  <si>
    <t>8" X 4" X .375W</t>
  </si>
  <si>
    <t>8" X 6" X .188W</t>
  </si>
  <si>
    <t>8" X 6" X .312W</t>
  </si>
  <si>
    <t>8" X 6" X .375W</t>
  </si>
  <si>
    <t>8" X 6" X .500W</t>
  </si>
  <si>
    <t>8" X 8" X .188W</t>
  </si>
  <si>
    <t>8" X 8" X .313W</t>
  </si>
  <si>
    <t>8-1/2" X 2" X .109W</t>
  </si>
  <si>
    <t>8-1/2" X 2" X .125W</t>
  </si>
  <si>
    <t>8-1/2" X 2" X .188W</t>
  </si>
  <si>
    <t>8-1/2" X 2" X .250W</t>
  </si>
  <si>
    <t>10" X 4" X .188W</t>
  </si>
  <si>
    <t>10" X 4" X .312W</t>
  </si>
  <si>
    <t>10" X 4" X .375W</t>
  </si>
  <si>
    <t>10" X 6" X .312W</t>
  </si>
  <si>
    <t>10" X 8" X .250W</t>
  </si>
  <si>
    <t>10" X 8" X .375W</t>
  </si>
  <si>
    <t>10" X 8" X .500W</t>
  </si>
  <si>
    <t>10" X 10" X .500W</t>
  </si>
  <si>
    <t>12" X 6" X .250W</t>
  </si>
  <si>
    <t>12" X 6" X .375W</t>
  </si>
  <si>
    <t>12" X 6" X .500W</t>
  </si>
  <si>
    <t>12" X 8" X .250W</t>
  </si>
  <si>
    <t>12" X 8" X .312W</t>
  </si>
  <si>
    <t>12" X 8" X .500W</t>
  </si>
  <si>
    <t>12" X 12" X .312W</t>
  </si>
  <si>
    <t>14" X 6" X .250W</t>
  </si>
  <si>
    <t>14" X 6" X .312W</t>
  </si>
  <si>
    <t>14" X 6" X .375W</t>
  </si>
  <si>
    <t>14" X 6" X .500W</t>
  </si>
  <si>
    <t>14" X 10" X .312W</t>
  </si>
  <si>
    <t>14" X 10" X .375W</t>
  </si>
  <si>
    <t>14" X 10" X .500W</t>
  </si>
  <si>
    <t>14" X 14" X .312W</t>
  </si>
  <si>
    <t>14" X 14" X .375W</t>
  </si>
  <si>
    <t>14" X 14" X .500W</t>
  </si>
  <si>
    <t>16" X 8" X .312W</t>
  </si>
  <si>
    <t>16" X 8" X .375W</t>
  </si>
  <si>
    <t>16" X 8" X .500W</t>
  </si>
  <si>
    <t>16" X 12" X .312W</t>
  </si>
  <si>
    <t>16" X 12" X .375W</t>
  </si>
  <si>
    <t>16" X 12" X .500W</t>
  </si>
  <si>
    <t>16" X 16" X .312W</t>
  </si>
  <si>
    <t>16" X 16" X .375W</t>
  </si>
  <si>
    <t>16" X 16" X .500W</t>
  </si>
  <si>
    <t>5/8" X 5/8" X .125W</t>
  </si>
  <si>
    <t>3/4" X 3/4" X .188W</t>
  </si>
  <si>
    <t>1-3/4" X 1-3/4" X .250W</t>
  </si>
  <si>
    <t>2" X 1-1/2" X .125W</t>
  </si>
  <si>
    <t>2" X 2" X .312W</t>
  </si>
  <si>
    <t>2-1/2" X 1-1/2" X .188W</t>
  </si>
  <si>
    <t>2-1/2" X 1-1/2" X .250W</t>
  </si>
  <si>
    <t>2-1/2" X 2" X .188W</t>
  </si>
  <si>
    <t>2-1/2" X 2" X .250W</t>
  </si>
  <si>
    <t>2-1/2" X 2-1/2" X .312W</t>
  </si>
  <si>
    <t>3" X 2" X .312W</t>
  </si>
  <si>
    <t>3" X 2-1/2" X .250W</t>
  </si>
  <si>
    <t>3" X 2-1/2" X .312W</t>
  </si>
  <si>
    <t>3" X 2-1/2" X .375W</t>
  </si>
  <si>
    <t xml:space="preserve">3" X 3" X .312W </t>
  </si>
  <si>
    <t xml:space="preserve">3-1/2" X 2-1/2" X .312W </t>
  </si>
  <si>
    <t xml:space="preserve">3-1/2" X 2-1/2" X .375W </t>
  </si>
  <si>
    <t>3-1/2" X 3" X .250W</t>
  </si>
  <si>
    <t xml:space="preserve">3-1/2" X 3" X .312W </t>
  </si>
  <si>
    <t xml:space="preserve">3-1/2" X 3" X .375W </t>
  </si>
  <si>
    <t xml:space="preserve">3-1/2" X 3" X .500W </t>
  </si>
  <si>
    <t xml:space="preserve">3-1/2" X 3-1/2" X .312W </t>
  </si>
  <si>
    <t>4" X 3" X .312W</t>
  </si>
  <si>
    <t>4" X 3" X .500W</t>
  </si>
  <si>
    <t>4" X 3-1/2" X .250W</t>
  </si>
  <si>
    <t>4" X 3-1/2" X .312W</t>
  </si>
  <si>
    <t>4" X 3-1/2" X .375W</t>
  </si>
  <si>
    <t xml:space="preserve">5" X 3" X .312W </t>
  </si>
  <si>
    <t>5" X 3" X .500W</t>
  </si>
  <si>
    <t>5" X 3-1/2" X .250W</t>
  </si>
  <si>
    <t xml:space="preserve">5" X 3-1/2" X .312W </t>
  </si>
  <si>
    <t>5" X 3-1/2" X .375W</t>
  </si>
  <si>
    <t>5" X 3-1/2" X .500W</t>
  </si>
  <si>
    <t xml:space="preserve">6" X 3-1/2" X .312W </t>
  </si>
  <si>
    <t xml:space="preserve">6" X 3-1/2" X .375W </t>
  </si>
  <si>
    <t xml:space="preserve">6" X 3-1/2" X .500W </t>
  </si>
  <si>
    <t>6" X 4" X .625W</t>
  </si>
  <si>
    <t>6" X 4" X .875W</t>
  </si>
  <si>
    <t>6" X 4" X 1"W</t>
  </si>
  <si>
    <t>6" X 6" X .625W</t>
  </si>
  <si>
    <t>6" X 6" X .750W</t>
  </si>
  <si>
    <t>7" X 4" X .375W</t>
  </si>
  <si>
    <t>7" X 4" X .500W</t>
  </si>
  <si>
    <t>8" X 8" X .750W</t>
  </si>
  <si>
    <t>8" X 8" X 1"W</t>
  </si>
  <si>
    <t>C 3 x 6 (C75 x 9)</t>
  </si>
  <si>
    <t>C 6 x 8.2 (C150 x 12)</t>
  </si>
  <si>
    <t>C 7 x 9.8 (C180 x 15)</t>
  </si>
  <si>
    <t>C 7 x 12.25 (C180 x 18)</t>
  </si>
  <si>
    <t>C 7 x 14.75 (C180 x 22)</t>
  </si>
  <si>
    <t>C 9 x 13.4 (C230 x 20)</t>
  </si>
  <si>
    <t>C 9 x 15 (C230 x 22)</t>
  </si>
  <si>
    <t>C 9 x 20 (C230 x 30)</t>
  </si>
  <si>
    <t>C 10 x 25 (C250 x 37)</t>
  </si>
  <si>
    <t>C 10 x 30 (C250 x 45)</t>
  </si>
  <si>
    <t>C 12 x 25 (C310 x 37)</t>
  </si>
  <si>
    <t>C 12 x 30 (C310 x 45)</t>
  </si>
  <si>
    <t>C 15 x 33.9 (C380 x 50)</t>
  </si>
  <si>
    <t>C 15 x 40 (C380 x 60)</t>
  </si>
  <si>
    <t>C 15 x 50 (C380 x 74)</t>
  </si>
  <si>
    <t>S3 X 5.7 (S75 x 8)</t>
  </si>
  <si>
    <t>S3 X 7.5 (S75 x 11)</t>
  </si>
  <si>
    <t>S4 X 9.5 (S100 x 14.1)</t>
  </si>
  <si>
    <t>S5 X 14.75 (S130 x 22)</t>
  </si>
  <si>
    <t>S6 X 17.25 (S150 x 26)</t>
  </si>
  <si>
    <t>S7 X 15.3 (S180 x 22.8)</t>
  </si>
  <si>
    <t>S7 X 20 (S180 x 30)</t>
  </si>
  <si>
    <t>S8 X 23 (S200 x 34)</t>
  </si>
  <si>
    <t>S10 X 35 (S250 x 52)</t>
  </si>
  <si>
    <t>S12 X 35 (S310 x 52)</t>
  </si>
  <si>
    <t>S12 X 40.8 (S310 x 60.7)</t>
  </si>
  <si>
    <t>S12 X 50 (S310 x 74)</t>
  </si>
  <si>
    <t>S15 X 42.9 (S380 x 64)</t>
  </si>
  <si>
    <t>S15 X 50 (S380 x 74)</t>
  </si>
  <si>
    <t>S18 X 54.7 (S460 x 81.4)</t>
  </si>
  <si>
    <t>S18 X 70 (S460 x 104)</t>
  </si>
  <si>
    <t>S20 X 66 (S510 x 98.2)</t>
  </si>
  <si>
    <t>S20 X 86 (S510 x 128)</t>
  </si>
  <si>
    <t>S24 X 80 (S610 x 119)</t>
  </si>
  <si>
    <t>S24 X 100 (S610 x 149)</t>
  </si>
  <si>
    <t>S24 X 106 (S610 x 158)</t>
  </si>
  <si>
    <t>W 5 x 16 (W130 x 24)</t>
  </si>
  <si>
    <t>W 5 x 19 (W130 x 28)</t>
  </si>
  <si>
    <t>W 6 x 16 (W150 x 24)</t>
  </si>
  <si>
    <t>W 6 x 9 (W150 x 13)</t>
  </si>
  <si>
    <t>W 8 x 10 (W200 x 15)</t>
  </si>
  <si>
    <t>W 8 x 13 (W200 x 19)</t>
  </si>
  <si>
    <t>W 8 x 15 (W200 x 22)</t>
  </si>
  <si>
    <t>W 8 x 48 (W200 x 71)</t>
  </si>
  <si>
    <t>W 8 x 58 (W200 x 86)</t>
  </si>
  <si>
    <t>W 8 x 67 (W200 x 100)</t>
  </si>
  <si>
    <t>W 10 x 12 (W250 x 18)</t>
  </si>
  <si>
    <t>W 10 x 15 (W250 x 22)</t>
  </si>
  <si>
    <t>W 10 x 17 (W250 x 25)</t>
  </si>
  <si>
    <t>W 10 x 19 (W250 x 28)</t>
  </si>
  <si>
    <t>W 10 x 45 (W250 x 87)</t>
  </si>
  <si>
    <t>W 10 x 49 (W250 x 73)</t>
  </si>
  <si>
    <t>W 10 x 54 (W250 x 80)</t>
  </si>
  <si>
    <t>W 10 x 60 (W250 x 89)</t>
  </si>
  <si>
    <t>W 10 x 68 (W250 x 101)</t>
  </si>
  <si>
    <t>W 10 x 77 (W250 x 115)</t>
  </si>
  <si>
    <t>W 10 x 88 (W250 x 131)</t>
  </si>
  <si>
    <t>W 10 x 100 (W250 x 149)</t>
  </si>
  <si>
    <t>W 10 x 112 (W250 x 167)</t>
  </si>
  <si>
    <t>W 12 x 14 (W310 x 21)</t>
  </si>
  <si>
    <t>W 12 x 16 (W310 x 24)</t>
  </si>
  <si>
    <t>W 12 x 19 (W310 x 28)</t>
  </si>
  <si>
    <t>W 12 x 22 (W310 x 33)</t>
  </si>
  <si>
    <t>W 12 x 65 (W310 x 97)</t>
  </si>
  <si>
    <t>W 12 X 72 (W310 x 107)</t>
  </si>
  <si>
    <t>W 12 x 79 (W310 x 117)</t>
  </si>
  <si>
    <t>W 12 x 87 (W310 x 129)</t>
  </si>
  <si>
    <t>W 12 x 96 (W310 x 143)</t>
  </si>
  <si>
    <t>W 12 x 106 (W310 x 158)</t>
  </si>
  <si>
    <t>W 12 x 120 (W310 x 179)</t>
  </si>
  <si>
    <t>W 12 x 136 (W310 x 202)</t>
  </si>
  <si>
    <t>W 12 x 152 (W310 x 226)</t>
  </si>
  <si>
    <t>W 12 x 170 (W310 x 253)</t>
  </si>
  <si>
    <t>W 12 x 190 (W310 x 283)</t>
  </si>
  <si>
    <t>W 12 x 210 (W310 x 313)</t>
  </si>
  <si>
    <t>W 12 x 230 (W310 x 342)</t>
  </si>
  <si>
    <t>W 12 x 252 (W310 x 375)</t>
  </si>
  <si>
    <t>W 12 x 279 (W310 x 415)</t>
  </si>
  <si>
    <t>W 12 x 305 (W310 x 454)</t>
  </si>
  <si>
    <t>W 12 x 336 (W310 x 500)</t>
  </si>
  <si>
    <t>W 14 x 30 (W360 x 45)</t>
  </si>
  <si>
    <t>W 14 x 34 (W360 x 51)</t>
  </si>
  <si>
    <t>W 14 x 38 (W360 x 57)</t>
  </si>
  <si>
    <t>W 14 x 43 (W360 x 64)</t>
  </si>
  <si>
    <t>W 14 x 48 (W360 x 72)</t>
  </si>
  <si>
    <t>W 14 x 53 (W360 x 79)</t>
  </si>
  <si>
    <t>W 14 x 61 (W360 x 91)</t>
  </si>
  <si>
    <t>W 14 x 68 (W360 x 101)</t>
  </si>
  <si>
    <t>W 14 x 74 (W360 x 110)</t>
  </si>
  <si>
    <t>W 14 x 82 (W360 x 122)</t>
  </si>
  <si>
    <t>W 14 x 90 (W360 x 134)</t>
  </si>
  <si>
    <t>W 14 x 99 (W360 x 147)</t>
  </si>
  <si>
    <t>W 14 x 109 (W360 x 162)</t>
  </si>
  <si>
    <t>W 14 x 120 (W360 x 179)</t>
  </si>
  <si>
    <t>W 14 x 132 (W360 x 196)</t>
  </si>
  <si>
    <t>W 14 x 145 (W360 x 216)</t>
  </si>
  <si>
    <t>W 14 x 159 (W360 x 237)</t>
  </si>
  <si>
    <t>W 14 x 176 (W360 x 262)</t>
  </si>
  <si>
    <t>W 14 x 193 (W360 x 287)</t>
  </si>
  <si>
    <t>W 14 x 211 (W360 x 314)</t>
  </si>
  <si>
    <t>W 14 x 233 (W360 x 347)</t>
  </si>
  <si>
    <t>W 14 x 257 (W360 x 382)</t>
  </si>
  <si>
    <t>W 14 x 283 (W360 x 421)</t>
  </si>
  <si>
    <t>W 14 x 311 (W360 x 463)</t>
  </si>
  <si>
    <t>W 14 x 342 (W360 x 509)</t>
  </si>
  <si>
    <t>W 14 x 370 (W360 x 551)</t>
  </si>
  <si>
    <t>W 14 x 398 (W360 x 592)</t>
  </si>
  <si>
    <t>W 14 x 426 (W360 x 634)</t>
  </si>
  <si>
    <t>W 14 x 455 (W360 x 677)</t>
  </si>
  <si>
    <t>W 14 x 500 (W360 x 744)</t>
  </si>
  <si>
    <t>W 14 x 550 (W360 x 818)</t>
  </si>
  <si>
    <t>W 14 x 605 (W360 x 900)</t>
  </si>
  <si>
    <t>W 14 x 665 (W360 x 990)</t>
  </si>
  <si>
    <t>W 14 x 730 (W360 x 1086)</t>
  </si>
  <si>
    <t>W 16 x 50 (W410 x 74)</t>
  </si>
  <si>
    <t>W 16 x 57 (W410 x 85)</t>
  </si>
  <si>
    <t>W 16 x 67 (W410 x 100)</t>
  </si>
  <si>
    <t>W 16 x 77 (W410 x 114)</t>
  </si>
  <si>
    <t>W 16 x 89 (W410 x 132)</t>
  </si>
  <si>
    <t>W 16 x 100 (W410 x 149)</t>
  </si>
  <si>
    <t>W 18 x 46 (W460 x 68)</t>
  </si>
  <si>
    <t>W 18 x 55 (W460 x 82)</t>
  </si>
  <si>
    <t>W 18 x 60 (W460 x 89)</t>
  </si>
  <si>
    <t>W 18 x 65 (W460 x 97)</t>
  </si>
  <si>
    <t>W 18 x 71 (W460 x 106)</t>
  </si>
  <si>
    <t>W 18 x 76 (W460 x 113)</t>
  </si>
  <si>
    <t>W 18 x 86 (W460 x 128)</t>
  </si>
  <si>
    <t>W 18 x 97 (W460 x 144)</t>
  </si>
  <si>
    <t>W 18 x 106 (W460 x 158)</t>
  </si>
  <si>
    <t>W 18 x 119 (W460 x 177)</t>
  </si>
  <si>
    <t>W 21 x 44 (W530 x 66)</t>
  </si>
  <si>
    <t>W 21 x 50 (W530 x 74)</t>
  </si>
  <si>
    <t>W 21 x 57 (W530 x 85)</t>
  </si>
  <si>
    <t>W 21 x 62 (W530 x 92)</t>
  </si>
  <si>
    <t>W 21 x 68 (W530 x 101)</t>
  </si>
  <si>
    <t>W 21 x 73 (W530 x 109)</t>
  </si>
  <si>
    <t>W 21 x 83 (W530 x 124)</t>
  </si>
  <si>
    <t>W 21 x 93 (W530 x 138)</t>
  </si>
  <si>
    <t>W 21 x 101 (W530 x 150)</t>
  </si>
  <si>
    <t>W 21 x 111 (W530 x 165)</t>
  </si>
  <si>
    <t>W 21 x 122 (W530 x 182)</t>
  </si>
  <si>
    <t>W 21 x 132 (W530 x 196)</t>
  </si>
  <si>
    <t>W 21 x 147 (W530 x 219)</t>
  </si>
  <si>
    <t>W 24 x 55 (W610 x 82)</t>
  </si>
  <si>
    <t>W 24 x 62 (W610 x 92)</t>
  </si>
  <si>
    <t>W 24 x 84 (W610 x 125)</t>
  </si>
  <si>
    <t>W 24 x 94 (W610 x 140)</t>
  </si>
  <si>
    <t>W 24 x 104 (W610 x 155)</t>
  </si>
  <si>
    <t>W 24 x 117 (W610 x 174)</t>
  </si>
  <si>
    <t>W 24 x 131 (W610 x 195)</t>
  </si>
  <si>
    <t>W 24 x 146 (W610 x 217)</t>
  </si>
  <si>
    <t>W 24 x 162 (W610 x 241)</t>
  </si>
  <si>
    <t>W 27 x 84 (W690 x 125)</t>
  </si>
  <si>
    <t>W 27 x 94 (W690 x 140)</t>
  </si>
  <si>
    <t>W 27 x 102 (W690 x 152)</t>
  </si>
  <si>
    <t>W 27 x 114 (W690 x 170)</t>
  </si>
  <si>
    <t>W 27 x 146 (W690 x 217)</t>
  </si>
  <si>
    <t>W 27 x 161 (W690 x 240)</t>
  </si>
  <si>
    <t>W 27 x 178 (W690 x 265)</t>
  </si>
  <si>
    <t>Steel A106 Gr A</t>
  </si>
  <si>
    <t>Steel A106 Gr B</t>
  </si>
  <si>
    <t>Steel A106 Gr C</t>
  </si>
  <si>
    <t>Steel A335 Gr P1</t>
  </si>
  <si>
    <t>Steel A335 Gr P11</t>
  </si>
  <si>
    <t>Steel A335 Gr P12</t>
  </si>
  <si>
    <t>Steel A335 Gr P22</t>
  </si>
  <si>
    <t>Steel A335 Gr P5</t>
  </si>
  <si>
    <t>Steel A335 Gr P99</t>
  </si>
  <si>
    <t>Steel A333 Gr 6</t>
  </si>
  <si>
    <t>Steel A333 Gr 3</t>
  </si>
  <si>
    <t>Stainless A312 Gr TP304</t>
  </si>
  <si>
    <t>Stainless A312 Gr TP316</t>
  </si>
  <si>
    <t>Stainless A312 Gr TP321</t>
  </si>
  <si>
    <t>Stainless A312 Gr TP347</t>
  </si>
  <si>
    <t>3/8" X .083</t>
  </si>
  <si>
    <t>Tubing</t>
  </si>
  <si>
    <t>Steel 4140</t>
  </si>
  <si>
    <t>Steel A519 Gr 1026</t>
  </si>
  <si>
    <t>Steel A519 Gr 4140</t>
  </si>
  <si>
    <t>Steel A519 Gr 4142</t>
  </si>
  <si>
    <t>Stainless 316/316L</t>
  </si>
  <si>
    <t>Stainless 304/304L</t>
  </si>
  <si>
    <t>Stainless 303 TGP SS</t>
  </si>
  <si>
    <t>Stainless 304 SS</t>
  </si>
  <si>
    <t>Stainless 316/316L SS</t>
  </si>
  <si>
    <t>Steel 1018</t>
  </si>
  <si>
    <t>Steel 1035</t>
  </si>
  <si>
    <t>Steel 1040</t>
  </si>
  <si>
    <t>Steel 1045 TGP</t>
  </si>
  <si>
    <t>Steel 4340</t>
  </si>
  <si>
    <t>Aluminum 6061</t>
  </si>
  <si>
    <t>Aluminum 6063</t>
  </si>
  <si>
    <t>Beam</t>
  </si>
  <si>
    <t>Steel A36</t>
  </si>
  <si>
    <t>Steel A992</t>
  </si>
  <si>
    <t>Steel A588</t>
  </si>
  <si>
    <t>Steel 1045</t>
  </si>
  <si>
    <t>Steel A529-50</t>
  </si>
  <si>
    <t>Steel A572-50</t>
  </si>
  <si>
    <t>Steel 8620</t>
  </si>
  <si>
    <t>Steel 4140 HR</t>
  </si>
  <si>
    <t xml:space="preserve">Steel 4150 </t>
  </si>
  <si>
    <t>Steel 1018 HR</t>
  </si>
  <si>
    <t>Steel 1018 CD</t>
  </si>
  <si>
    <t>Steel 1045 CD</t>
  </si>
  <si>
    <t>Stressproof</t>
  </si>
  <si>
    <t>Steel A513 Type 1</t>
  </si>
  <si>
    <t>Steel A513 Type 2</t>
  </si>
  <si>
    <t>Steel A513 Type 5 (DOM)</t>
  </si>
  <si>
    <t>Steel A519 Gr 1026 CD</t>
  </si>
  <si>
    <t>Steel A519 Gr 4140 CD</t>
  </si>
  <si>
    <t>Steel A519 Gr 4142 CD</t>
  </si>
  <si>
    <t>Lengths Req'd</t>
  </si>
  <si>
    <t>Piece List Cut Length</t>
  </si>
  <si>
    <t>Material Cut List</t>
  </si>
  <si>
    <t>Rapid Gear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</si>
</sst>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.00"/>
    <numFmt numFmtId="165" formatCode="\:"/>
    <numFmt numFmtId="166" formatCode="0.0"/>
    <numFmt numFmtId="167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00FF"/>
      <name val="Courier New"/>
      <family val="3"/>
    </font>
    <font>
      <sz val="11"/>
      <color rgb="FF000000"/>
      <name val="Calibri"/>
      <family val="2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/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2" borderId="3" xfId="0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 wrapText="1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3" xfId="0" applyNumberFormat="1" applyFill="1" applyBorder="1" applyAlignment="1" applyProtection="1">
      <alignment horizontal="left"/>
      <protection locked="0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7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3" borderId="7" xfId="0" applyFill="1" applyBorder="1" applyAlignment="1" applyProtection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 applyProtection="1">
      <alignment horizontal="right" wrapText="1"/>
      <protection locked="0"/>
    </xf>
    <xf numFmtId="0" fontId="3" fillId="0" borderId="0" xfId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left" vertical="center" wrapText="1"/>
      <protection locked="0"/>
    </xf>
    <xf numFmtId="165" fontId="3" fillId="0" borderId="0" xfId="1" applyNumberFormat="1" applyAlignment="1" applyProtection="1">
      <alignment wrapText="1"/>
      <protection locked="0"/>
    </xf>
    <xf numFmtId="0" fontId="3" fillId="0" borderId="0" xfId="1" applyAlignment="1" applyProtection="1"/>
    <xf numFmtId="0" fontId="0" fillId="2" borderId="3" xfId="0" quotePrefix="1" applyFill="1" applyBorder="1" applyAlignment="1" applyProtection="1">
      <alignment horizontal="left" wrapText="1"/>
      <protection locked="0"/>
    </xf>
    <xf numFmtId="0" fontId="4" fillId="0" borderId="0" xfId="0" applyFont="1" applyAlignment="1" applyProtection="1">
      <alignment vertical="center"/>
      <protection locked="0"/>
    </xf>
    <xf numFmtId="164" fontId="0" fillId="0" borderId="0" xfId="0" applyNumberFormat="1" applyProtection="1">
      <protection locked="0"/>
    </xf>
    <xf numFmtId="167" fontId="3" fillId="0" borderId="0" xfId="1" applyNumberFormat="1" applyAlignment="1" applyProtection="1">
      <alignment wrapText="1"/>
      <protection locked="0"/>
    </xf>
    <xf numFmtId="167" fontId="0" fillId="0" borderId="0" xfId="0" applyNumberFormat="1" applyProtection="1">
      <protection locked="0"/>
    </xf>
    <xf numFmtId="167" fontId="1" fillId="2" borderId="2" xfId="0" applyNumberFormat="1" applyFont="1" applyFill="1" applyBorder="1" applyAlignment="1" applyProtection="1">
      <alignment horizontal="left" vertical="center"/>
      <protection locked="0"/>
    </xf>
    <xf numFmtId="167" fontId="0" fillId="2" borderId="3" xfId="0" applyNumberFormat="1" applyFill="1" applyBorder="1" applyAlignment="1" applyProtection="1">
      <alignment horizontal="left"/>
      <protection locked="0"/>
    </xf>
    <xf numFmtId="0" fontId="0" fillId="0" borderId="9" xfId="0" applyBorder="1" applyProtection="1"/>
    <xf numFmtId="0" fontId="0" fillId="0" borderId="9" xfId="0" applyBorder="1"/>
    <xf numFmtId="0" fontId="0" fillId="0" borderId="9" xfId="0" applyFill="1" applyBorder="1"/>
    <xf numFmtId="0" fontId="0" fillId="0" borderId="3" xfId="0" applyBorder="1"/>
    <xf numFmtId="0" fontId="0" fillId="0" borderId="0" xfId="0" applyFill="1" applyBorder="1" applyProtection="1"/>
    <xf numFmtId="0" fontId="0" fillId="0" borderId="0" xfId="0" applyBorder="1"/>
    <xf numFmtId="49" fontId="0" fillId="0" borderId="0" xfId="0" applyNumberFormat="1" applyProtection="1">
      <protection locked="0"/>
    </xf>
    <xf numFmtId="164" fontId="0" fillId="2" borderId="3" xfId="0" applyNumberFormat="1" applyFill="1" applyBorder="1" applyAlignment="1" applyProtection="1">
      <alignment horizontal="left"/>
    </xf>
    <xf numFmtId="166" fontId="0" fillId="0" borderId="0" xfId="0" applyNumberFormat="1"/>
    <xf numFmtId="0" fontId="0" fillId="0" borderId="0" xfId="0" applyAlignment="1">
      <alignment wrapText="1"/>
    </xf>
    <xf numFmtId="164" fontId="0" fillId="0" borderId="11" xfId="0" applyNumberFormat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center" wrapText="1"/>
      <protection locked="0"/>
    </xf>
    <xf numFmtId="0" fontId="2" fillId="0" borderId="10" xfId="0" applyFont="1" applyBorder="1" applyAlignment="1">
      <alignment horizontal="center" wrapText="1"/>
    </xf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342900</xdr:colOff>
          <xdr:row>1</xdr:row>
          <xdr:rowOff>114300</xdr:rowOff>
        </xdr:to>
        <xdr:sp macro="" textlink="">
          <xdr:nvSpPr>
            <xdr:cNvPr id="1028" name="TempComb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19050</xdr:rowOff>
        </xdr:from>
        <xdr:to>
          <xdr:col>11</xdr:col>
          <xdr:colOff>304800</xdr:colOff>
          <xdr:row>1</xdr:row>
          <xdr:rowOff>0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0</xdr:row>
          <xdr:rowOff>95250</xdr:rowOff>
        </xdr:from>
        <xdr:to>
          <xdr:col>11</xdr:col>
          <xdr:colOff>733425</xdr:colOff>
          <xdr:row>1</xdr:row>
          <xdr:rowOff>152400</xdr:rowOff>
        </xdr:to>
        <xdr:sp macro="" textlink="">
          <xdr:nvSpPr>
            <xdr:cNvPr id="1033" name="btnDele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38100</xdr:rowOff>
        </xdr:from>
        <xdr:to>
          <xdr:col>9</xdr:col>
          <xdr:colOff>200025</xdr:colOff>
          <xdr:row>1</xdr:row>
          <xdr:rowOff>0</xdr:rowOff>
        </xdr:to>
        <xdr:sp macro="" textlink="">
          <xdr:nvSpPr>
            <xdr:cNvPr id="2054" name="btnAd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0</xdr:row>
          <xdr:rowOff>38100</xdr:rowOff>
        </xdr:from>
        <xdr:to>
          <xdr:col>14</xdr:col>
          <xdr:colOff>114300</xdr:colOff>
          <xdr:row>1</xdr:row>
          <xdr:rowOff>0</xdr:rowOff>
        </xdr:to>
        <xdr:sp macro="" textlink="">
          <xdr:nvSpPr>
            <xdr:cNvPr id="2059" name="btnExpo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133350</xdr:rowOff>
        </xdr:from>
        <xdr:to>
          <xdr:col>7</xdr:col>
          <xdr:colOff>771525</xdr:colOff>
          <xdr:row>1</xdr:row>
          <xdr:rowOff>9525</xdr:rowOff>
        </xdr:to>
        <xdr:sp macro="" textlink="">
          <xdr:nvSpPr>
            <xdr:cNvPr id="2063" name="Label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1038225</xdr:colOff>
          <xdr:row>0</xdr:row>
          <xdr:rowOff>152400</xdr:rowOff>
        </xdr:to>
        <xdr:sp macro="" textlink="">
          <xdr:nvSpPr>
            <xdr:cNvPr id="2062" name="Label1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0</xdr:row>
          <xdr:rowOff>38100</xdr:rowOff>
        </xdr:from>
        <xdr:to>
          <xdr:col>13</xdr:col>
          <xdr:colOff>133350</xdr:colOff>
          <xdr:row>1</xdr:row>
          <xdr:rowOff>0</xdr:rowOff>
        </xdr:to>
        <xdr:sp macro="" textlink="">
          <xdr:nvSpPr>
            <xdr:cNvPr id="2064" name="cmdRemov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38100</xdr:rowOff>
        </xdr:from>
        <xdr:to>
          <xdr:col>11</xdr:col>
          <xdr:colOff>485775</xdr:colOff>
          <xdr:row>1</xdr:row>
          <xdr:rowOff>0</xdr:rowOff>
        </xdr:to>
        <xdr:sp macro="" textlink="">
          <xdr:nvSpPr>
            <xdr:cNvPr id="2065" name="btnPart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0</xdr:row>
          <xdr:rowOff>247650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123" name="txtKerf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2</xdr:col>
          <xdr:colOff>180975</xdr:colOff>
          <xdr:row>3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New Stock Lengths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9525</xdr:rowOff>
        </xdr:from>
        <xdr:to>
          <xdr:col>8</xdr:col>
          <xdr:colOff>9525</xdr:colOff>
          <xdr:row>1</xdr:row>
          <xdr:rowOff>0</xdr:rowOff>
        </xdr:to>
        <xdr:sp macro="" textlink="">
          <xdr:nvSpPr>
            <xdr:cNvPr id="5124" name="btnExpor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38100</xdr:rowOff>
        </xdr:from>
        <xdr:to>
          <xdr:col>6</xdr:col>
          <xdr:colOff>2562225</xdr:colOff>
          <xdr:row>0</xdr:row>
          <xdr:rowOff>219075</xdr:rowOff>
        </xdr:to>
        <xdr:sp macro="" textlink="">
          <xdr:nvSpPr>
            <xdr:cNvPr id="5125" name="Label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6</xdr:col>
          <xdr:colOff>400050</xdr:colOff>
          <xdr:row>1</xdr:row>
          <xdr:rowOff>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4</xdr:col>
          <xdr:colOff>847725</xdr:colOff>
          <xdr:row>1</xdr:row>
          <xdr:rowOff>9525</xdr:rowOff>
        </xdr:to>
        <xdr:sp macro="" textlink="">
          <xdr:nvSpPr>
            <xdr:cNvPr id="10242" name="Label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5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10.140625" style="5" bestFit="1" customWidth="1"/>
    <col min="2" max="2" width="12" style="5" customWidth="1"/>
    <col min="3" max="3" width="10.85546875" style="5" customWidth="1"/>
    <col min="4" max="4" width="27.140625" style="2" customWidth="1"/>
    <col min="5" max="5" width="37.85546875" style="2" customWidth="1"/>
    <col min="6" max="6" width="8.7109375" style="3" bestFit="1" customWidth="1"/>
    <col min="7" max="7" width="16.7109375" style="5" customWidth="1"/>
    <col min="8" max="8" width="15.42578125" style="5" customWidth="1"/>
    <col min="9" max="9" width="13.28515625" style="5" customWidth="1"/>
    <col min="10" max="10" width="12.85546875" style="5" customWidth="1"/>
    <col min="11" max="11" width="12.42578125" style="33" customWidth="1"/>
    <col min="12" max="12" width="11.140625" style="31" customWidth="1"/>
    <col min="13" max="16384" width="9.140625" style="5"/>
  </cols>
  <sheetData>
    <row r="1" spans="1:12" ht="15.75" thickBot="1" x14ac:dyDescent="0.3">
      <c r="B1" s="5" t="s">
        <v>206</v>
      </c>
      <c r="C1" s="47"/>
      <c r="D1" s="47"/>
      <c r="E1" s="27" t="str">
        <f>IF(D1="","",D1*XEW1)</f>
        <v/>
      </c>
      <c r="F1" s="27"/>
      <c r="H1" s="27"/>
      <c r="I1" s="27"/>
      <c r="J1" s="27"/>
      <c r="K1" s="32"/>
      <c r="L1" s="5"/>
    </row>
    <row r="2" spans="1:12" x14ac:dyDescent="0.25">
      <c r="D2" s="20"/>
      <c r="G2" s="4"/>
      <c r="L2" s="5"/>
    </row>
    <row r="3" spans="1:12" ht="15.75" thickBot="1" x14ac:dyDescent="0.3">
      <c r="A3" s="22" t="s">
        <v>204</v>
      </c>
      <c r="B3" s="23" t="s">
        <v>207</v>
      </c>
      <c r="C3" s="22" t="s">
        <v>0</v>
      </c>
      <c r="D3" s="24" t="s">
        <v>1</v>
      </c>
      <c r="E3" s="24" t="s">
        <v>2</v>
      </c>
      <c r="F3" s="22" t="s">
        <v>3</v>
      </c>
      <c r="G3" s="25" t="s">
        <v>4</v>
      </c>
      <c r="H3" s="24" t="s">
        <v>5</v>
      </c>
      <c r="I3" s="26" t="s">
        <v>209</v>
      </c>
      <c r="J3" s="22" t="s">
        <v>6</v>
      </c>
      <c r="K3" s="34" t="s">
        <v>208</v>
      </c>
      <c r="L3" s="22" t="s">
        <v>7</v>
      </c>
    </row>
    <row r="4" spans="1:12" x14ac:dyDescent="0.25">
      <c r="A4" s="6"/>
      <c r="B4" s="6"/>
      <c r="C4" s="6"/>
      <c r="D4" s="7"/>
      <c r="E4" s="29"/>
      <c r="F4" s="8"/>
      <c r="G4" s="9"/>
      <c r="H4" s="8"/>
      <c r="I4" s="8"/>
      <c r="J4" s="8"/>
      <c r="K4" s="35"/>
      <c r="L4" s="43">
        <f>A4*K4</f>
        <v>0</v>
      </c>
    </row>
    <row r="5" spans="1:12" x14ac:dyDescent="0.25">
      <c r="L5" s="46">
        <f>SUM(L4:L4)</f>
        <v>0</v>
      </c>
    </row>
  </sheetData>
  <sheetProtection sheet="1" objects="1" scenarios="1" formatColumns="0" insertColumns="0" insertRows="0" deleteColumns="0" deleteRows="0" selectLockedCells="1" sort="0" autoFilter="0"/>
  <dataConsolidate/>
  <mergeCells count="1">
    <mergeCell ref="C1:D1"/>
  </mergeCells>
  <pageMargins left="0.70866141732283472" right="0.70866141732283472" top="0.74803149606299213" bottom="0.74803149606299213" header="0.31496062992125984" footer="0.31496062992125984"/>
  <pageSetup paperSize="17" fitToHeight="0" orientation="landscape" r:id="rId1"/>
  <headerFooter>
    <oddFooter>&amp;L&amp;Z&amp;F&amp;RPage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1033" r:id="rId4" name="btnDelete">
          <controlPr defaultSize="0" print="0" autoLine="0" r:id="rId5">
            <anchor moveWithCells="1">
              <from>
                <xdr:col>10</xdr:col>
                <xdr:colOff>419100</xdr:colOff>
                <xdr:row>0</xdr:row>
                <xdr:rowOff>95250</xdr:rowOff>
              </from>
              <to>
                <xdr:col>11</xdr:col>
                <xdr:colOff>733425</xdr:colOff>
                <xdr:row>1</xdr:row>
                <xdr:rowOff>152400</xdr:rowOff>
              </to>
            </anchor>
          </controlPr>
        </control>
      </mc:Choice>
      <mc:Fallback>
        <control shapeId="1033" r:id="rId4" name="btnDelete"/>
      </mc:Fallback>
    </mc:AlternateContent>
    <mc:AlternateContent xmlns:mc="http://schemas.openxmlformats.org/markup-compatibility/2006">
      <mc:Choice Requires="x14">
        <control shapeId="1028" r:id="rId6" name="TempCombo">
          <controlPr defaultSize="0" autoLine="0" linkedCell="Quote!$G$1" r:id="rId7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342900</xdr:colOff>
                <xdr:row>1</xdr:row>
                <xdr:rowOff>114300</xdr:rowOff>
              </to>
            </anchor>
          </controlPr>
        </control>
      </mc:Choice>
      <mc:Fallback>
        <control shapeId="1028" r:id="rId6" name="TempCombo"/>
      </mc:Fallback>
    </mc:AlternateContent>
    <mc:AlternateContent xmlns:mc="http://schemas.openxmlformats.org/markup-compatibility/2006">
      <mc:Choice Requires="x14">
        <control shapeId="1031" r:id="rId8" name="Label1">
          <controlPr defaultSize="0" print="0" autoLine="0" r:id="rId9">
            <anchor moveWithCells="1">
              <from>
                <xdr:col>4</xdr:col>
                <xdr:colOff>9525</xdr:colOff>
                <xdr:row>0</xdr:row>
                <xdr:rowOff>19050</xdr:rowOff>
              </from>
              <to>
                <xdr:col>11</xdr:col>
                <xdr:colOff>304800</xdr:colOff>
                <xdr:row>1</xdr:row>
                <xdr:rowOff>0</xdr:rowOff>
              </to>
            </anchor>
          </controlPr>
        </control>
      </mc:Choice>
      <mc:Fallback>
        <control shapeId="1031" r:id="rId8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K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28515625" defaultRowHeight="15" x14ac:dyDescent="0.25"/>
  <cols>
    <col min="1" max="1" width="21.28515625" style="5" customWidth="1"/>
    <col min="2" max="2" width="13.5703125" style="5" bestFit="1" customWidth="1"/>
    <col min="3" max="3" width="13.5703125" style="5" customWidth="1"/>
    <col min="4" max="4" width="11.140625" style="5" bestFit="1" customWidth="1"/>
    <col min="5" max="5" width="9.28515625" style="5"/>
    <col min="6" max="6" width="10" style="5" bestFit="1" customWidth="1"/>
    <col min="7" max="7" width="9.28515625" style="5"/>
    <col min="8" max="8" width="22.140625" style="5" customWidth="1"/>
    <col min="9" max="9" width="10.28515625" style="5" customWidth="1"/>
    <col min="10" max="10" width="9.28515625" style="5" customWidth="1"/>
    <col min="11" max="11" width="9.28515625" style="42" hidden="1" customWidth="1"/>
    <col min="12" max="16384" width="9.28515625" style="5"/>
  </cols>
  <sheetData>
    <row r="1" ht="23.25" customHeight="1" x14ac:dyDescent="0.25"/>
  </sheetData>
  <sheetProtection sheet="1" objects="1" scenarios="1" formatColumns="0" insertColumns="0" insertRows="0" deleteColumns="0" deleteRows="0" selectLockedCells="1" sort="0" autoFilter="0"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2059" r:id="rId4" name="btnExport">
          <controlPr defaultSize="0" print="0" autoLine="0" r:id="rId5">
            <anchor moveWithCells="1">
              <from>
                <xdr:col>13</xdr:col>
                <xdr:colOff>142875</xdr:colOff>
                <xdr:row>0</xdr:row>
                <xdr:rowOff>38100</xdr:rowOff>
              </from>
              <to>
                <xdr:col>14</xdr:col>
                <xdr:colOff>114300</xdr:colOff>
                <xdr:row>1</xdr:row>
                <xdr:rowOff>0</xdr:rowOff>
              </to>
            </anchor>
          </controlPr>
        </control>
      </mc:Choice>
      <mc:Fallback>
        <control shapeId="2059" r:id="rId4" name="btnExport"/>
      </mc:Fallback>
    </mc:AlternateContent>
    <mc:AlternateContent xmlns:mc="http://schemas.openxmlformats.org/markup-compatibility/2006">
      <mc:Choice Requires="x14">
        <control shapeId="2054" r:id="rId6" name="btnAdd">
          <controlPr defaultSize="0" print="0" autoLine="0" r:id="rId7">
            <anchor moveWithCells="1">
              <from>
                <xdr:col>8</xdr:col>
                <xdr:colOff>0</xdr:colOff>
                <xdr:row>0</xdr:row>
                <xdr:rowOff>38100</xdr:rowOff>
              </from>
              <to>
                <xdr:col>9</xdr:col>
                <xdr:colOff>200025</xdr:colOff>
                <xdr:row>1</xdr:row>
                <xdr:rowOff>0</xdr:rowOff>
              </to>
            </anchor>
          </controlPr>
        </control>
      </mc:Choice>
      <mc:Fallback>
        <control shapeId="2054" r:id="rId6" name="btnAdd"/>
      </mc:Fallback>
    </mc:AlternateContent>
    <mc:AlternateContent xmlns:mc="http://schemas.openxmlformats.org/markup-compatibility/2006">
      <mc:Choice Requires="x14">
        <control shapeId="2062" r:id="rId8" name="Label1">
          <controlPr defaultSize="0" print="0" autoLine="0" autoPict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1038225</xdr:colOff>
                <xdr:row>0</xdr:row>
                <xdr:rowOff>152400</xdr:rowOff>
              </to>
            </anchor>
          </controlPr>
        </control>
      </mc:Choice>
      <mc:Fallback>
        <control shapeId="2062" r:id="rId8" name="Label1"/>
      </mc:Fallback>
    </mc:AlternateContent>
    <mc:AlternateContent xmlns:mc="http://schemas.openxmlformats.org/markup-compatibility/2006">
      <mc:Choice Requires="x14">
        <control shapeId="2063" r:id="rId10" name="Label2">
          <controlPr defaultSize="0" print="0" autoLine="0" r:id="rId11">
            <anchor moveWithCells="1">
              <from>
                <xdr:col>0</xdr:col>
                <xdr:colOff>0</xdr:colOff>
                <xdr:row>0</xdr:row>
                <xdr:rowOff>133350</xdr:rowOff>
              </from>
              <to>
                <xdr:col>7</xdr:col>
                <xdr:colOff>771525</xdr:colOff>
                <xdr:row>1</xdr:row>
                <xdr:rowOff>9525</xdr:rowOff>
              </to>
            </anchor>
          </controlPr>
        </control>
      </mc:Choice>
      <mc:Fallback>
        <control shapeId="2063" r:id="rId10" name="Label2"/>
      </mc:Fallback>
    </mc:AlternateContent>
    <mc:AlternateContent xmlns:mc="http://schemas.openxmlformats.org/markup-compatibility/2006">
      <mc:Choice Requires="x14">
        <control shapeId="2064" r:id="rId12" name="cmdRemove">
          <controlPr defaultSize="0" print="0" autoLine="0" r:id="rId13">
            <anchor moveWithCells="1">
              <from>
                <xdr:col>11</xdr:col>
                <xdr:colOff>495300</xdr:colOff>
                <xdr:row>0</xdr:row>
                <xdr:rowOff>38100</xdr:rowOff>
              </from>
              <to>
                <xdr:col>13</xdr:col>
                <xdr:colOff>133350</xdr:colOff>
                <xdr:row>1</xdr:row>
                <xdr:rowOff>0</xdr:rowOff>
              </to>
            </anchor>
          </controlPr>
        </control>
      </mc:Choice>
      <mc:Fallback>
        <control shapeId="2064" r:id="rId12" name="cmdRemove"/>
      </mc:Fallback>
    </mc:AlternateContent>
    <mc:AlternateContent xmlns:mc="http://schemas.openxmlformats.org/markup-compatibility/2006">
      <mc:Choice Requires="x14">
        <control shapeId="2065" r:id="rId14" name="btnPart">
          <controlPr defaultSize="0" print="0" autoLine="0" r:id="rId15">
            <anchor moveWithCells="1">
              <from>
                <xdr:col>9</xdr:col>
                <xdr:colOff>219075</xdr:colOff>
                <xdr:row>0</xdr:row>
                <xdr:rowOff>38100</xdr:rowOff>
              </from>
              <to>
                <xdr:col>11</xdr:col>
                <xdr:colOff>485775</xdr:colOff>
                <xdr:row>1</xdr:row>
                <xdr:rowOff>0</xdr:rowOff>
              </to>
            </anchor>
          </controlPr>
        </control>
      </mc:Choice>
      <mc:Fallback>
        <control shapeId="2065" r:id="rId14" name="btnP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91"/>
  <sheetViews>
    <sheetView workbookViewId="0">
      <selection activeCell="D23" sqref="D23"/>
    </sheetView>
  </sheetViews>
  <sheetFormatPr defaultRowHeight="15" x14ac:dyDescent="0.25"/>
  <cols>
    <col min="1" max="1" width="17.28515625" bestFit="1" customWidth="1"/>
    <col min="2" max="2" width="20.28515625" bestFit="1" customWidth="1"/>
    <col min="3" max="3" width="17.85546875" bestFit="1" customWidth="1"/>
    <col min="4" max="5" width="17.85546875" customWidth="1"/>
    <col min="6" max="6" width="22" bestFit="1" customWidth="1"/>
    <col min="7" max="7" width="17.85546875" customWidth="1"/>
    <col min="8" max="8" width="12.5703125" bestFit="1" customWidth="1"/>
    <col min="9" max="9" width="13.28515625" bestFit="1" customWidth="1"/>
    <col min="10" max="10" width="36.7109375" bestFit="1" customWidth="1"/>
    <col min="11" max="11" width="22.28515625" bestFit="1" customWidth="1"/>
    <col min="12" max="12" width="20.140625" bestFit="1" customWidth="1"/>
    <col min="13" max="13" width="21.140625" bestFit="1" customWidth="1"/>
    <col min="14" max="14" width="23.140625" bestFit="1" customWidth="1"/>
    <col min="15" max="15" width="21" bestFit="1" customWidth="1"/>
    <col min="16" max="16" width="14.5703125" bestFit="1" customWidth="1"/>
    <col min="17" max="17" width="5.42578125" bestFit="1" customWidth="1"/>
  </cols>
  <sheetData>
    <row r="1" spans="1:16" x14ac:dyDescent="0.25">
      <c r="A1" t="s">
        <v>213</v>
      </c>
      <c r="B1" t="s">
        <v>214</v>
      </c>
      <c r="C1" t="s">
        <v>220</v>
      </c>
      <c r="D1" t="s">
        <v>219</v>
      </c>
      <c r="E1" t="s">
        <v>954</v>
      </c>
      <c r="F1" t="s">
        <v>218</v>
      </c>
      <c r="G1" t="s">
        <v>937</v>
      </c>
      <c r="H1" s="41" t="s">
        <v>221</v>
      </c>
      <c r="I1" t="s">
        <v>222</v>
      </c>
      <c r="J1" t="s">
        <v>215</v>
      </c>
      <c r="K1" s="41" t="s">
        <v>223</v>
      </c>
      <c r="L1" t="s">
        <v>219</v>
      </c>
      <c r="M1" t="s">
        <v>216</v>
      </c>
      <c r="N1" t="s">
        <v>217</v>
      </c>
      <c r="O1" s="41" t="s">
        <v>218</v>
      </c>
      <c r="P1" s="41" t="s">
        <v>406</v>
      </c>
    </row>
    <row r="2" spans="1:16" x14ac:dyDescent="0.25">
      <c r="A2" t="s">
        <v>952</v>
      </c>
      <c r="B2" t="s">
        <v>952</v>
      </c>
      <c r="C2" t="s">
        <v>952</v>
      </c>
      <c r="D2" t="s">
        <v>952</v>
      </c>
      <c r="E2" t="s">
        <v>952</v>
      </c>
      <c r="F2" t="s">
        <v>932</v>
      </c>
      <c r="G2" t="s">
        <v>943</v>
      </c>
      <c r="H2" s="36" t="s">
        <v>282</v>
      </c>
      <c r="I2" s="40" t="s">
        <v>585</v>
      </c>
      <c r="J2" t="s">
        <v>357</v>
      </c>
      <c r="K2" s="36" t="s">
        <v>717</v>
      </c>
      <c r="L2" t="s">
        <v>268</v>
      </c>
      <c r="M2" t="s">
        <v>777</v>
      </c>
      <c r="N2" t="s">
        <v>548</v>
      </c>
      <c r="O2" s="39" t="s">
        <v>459</v>
      </c>
      <c r="P2" s="36" t="s">
        <v>407</v>
      </c>
    </row>
    <row r="3" spans="1:16" x14ac:dyDescent="0.25">
      <c r="A3" t="s">
        <v>953</v>
      </c>
      <c r="B3" t="s">
        <v>953</v>
      </c>
      <c r="C3" t="s">
        <v>953</v>
      </c>
      <c r="D3" t="s">
        <v>955</v>
      </c>
      <c r="E3" t="s">
        <v>955</v>
      </c>
      <c r="F3" t="s">
        <v>933</v>
      </c>
      <c r="G3" t="s">
        <v>942</v>
      </c>
      <c r="H3" s="36" t="s">
        <v>283</v>
      </c>
      <c r="I3" s="40" t="s">
        <v>589</v>
      </c>
      <c r="J3" t="s">
        <v>603</v>
      </c>
      <c r="K3" s="36" t="s">
        <v>224</v>
      </c>
      <c r="L3" t="s">
        <v>269</v>
      </c>
      <c r="M3" t="s">
        <v>778</v>
      </c>
      <c r="N3" t="s">
        <v>798</v>
      </c>
      <c r="O3" s="37" t="s">
        <v>460</v>
      </c>
      <c r="P3" s="36" t="s">
        <v>408</v>
      </c>
    </row>
    <row r="4" spans="1:16" x14ac:dyDescent="0.25">
      <c r="A4" t="s">
        <v>943</v>
      </c>
      <c r="B4" t="s">
        <v>944</v>
      </c>
      <c r="C4" t="s">
        <v>212</v>
      </c>
      <c r="D4" t="s">
        <v>957</v>
      </c>
      <c r="E4" t="s">
        <v>957</v>
      </c>
      <c r="F4" t="s">
        <v>934</v>
      </c>
      <c r="G4" t="s">
        <v>970</v>
      </c>
      <c r="H4" s="36" t="s">
        <v>284</v>
      </c>
      <c r="I4" s="40" t="s">
        <v>586</v>
      </c>
      <c r="J4" t="s">
        <v>604</v>
      </c>
      <c r="K4" s="36" t="s">
        <v>718</v>
      </c>
      <c r="L4" t="s">
        <v>762</v>
      </c>
      <c r="M4" t="s">
        <v>542</v>
      </c>
      <c r="N4" t="s">
        <v>799</v>
      </c>
      <c r="O4" s="37" t="s">
        <v>461</v>
      </c>
      <c r="P4" s="36" t="s">
        <v>409</v>
      </c>
    </row>
    <row r="5" spans="1:16" x14ac:dyDescent="0.25">
      <c r="A5" t="s">
        <v>942</v>
      </c>
      <c r="B5" t="s">
        <v>945</v>
      </c>
      <c r="C5" t="s">
        <v>943</v>
      </c>
      <c r="E5" t="s">
        <v>956</v>
      </c>
      <c r="F5" t="s">
        <v>935</v>
      </c>
      <c r="G5" t="s">
        <v>939</v>
      </c>
      <c r="H5" s="36" t="s">
        <v>285</v>
      </c>
      <c r="I5" s="40" t="s">
        <v>587</v>
      </c>
      <c r="J5" t="s">
        <v>605</v>
      </c>
      <c r="K5" s="37" t="s">
        <v>225</v>
      </c>
      <c r="L5" t="s">
        <v>270</v>
      </c>
      <c r="M5" t="s">
        <v>779</v>
      </c>
      <c r="N5" t="s">
        <v>549</v>
      </c>
      <c r="O5" s="37" t="s">
        <v>462</v>
      </c>
      <c r="P5" s="36" t="s">
        <v>410</v>
      </c>
    </row>
    <row r="6" spans="1:16" x14ac:dyDescent="0.25">
      <c r="A6" t="s">
        <v>947</v>
      </c>
      <c r="B6" t="s">
        <v>946</v>
      </c>
      <c r="C6" t="s">
        <v>942</v>
      </c>
      <c r="F6" t="s">
        <v>921</v>
      </c>
      <c r="G6" t="s">
        <v>971</v>
      </c>
      <c r="H6" s="36" t="s">
        <v>286</v>
      </c>
      <c r="I6" s="40" t="s">
        <v>588</v>
      </c>
      <c r="J6" t="s">
        <v>358</v>
      </c>
      <c r="K6" s="37" t="s">
        <v>226</v>
      </c>
      <c r="L6" t="s">
        <v>271</v>
      </c>
      <c r="M6" t="s">
        <v>543</v>
      </c>
      <c r="N6" t="s">
        <v>550</v>
      </c>
      <c r="O6" s="37" t="s">
        <v>463</v>
      </c>
      <c r="P6" s="36" t="s">
        <v>411</v>
      </c>
    </row>
    <row r="7" spans="1:16" x14ac:dyDescent="0.25">
      <c r="A7" t="s">
        <v>958</v>
      </c>
      <c r="B7" t="s">
        <v>965</v>
      </c>
      <c r="C7" t="s">
        <v>968</v>
      </c>
      <c r="F7" t="s">
        <v>922</v>
      </c>
      <c r="G7" t="s">
        <v>940</v>
      </c>
      <c r="H7" s="36" t="s">
        <v>287</v>
      </c>
      <c r="I7" s="40" t="s">
        <v>590</v>
      </c>
      <c r="J7" t="s">
        <v>606</v>
      </c>
      <c r="K7" s="37" t="s">
        <v>227</v>
      </c>
      <c r="L7" t="s">
        <v>272</v>
      </c>
      <c r="M7" t="s">
        <v>780</v>
      </c>
      <c r="N7" t="s">
        <v>800</v>
      </c>
      <c r="O7" s="37" t="s">
        <v>464</v>
      </c>
      <c r="P7" s="36" t="s">
        <v>412</v>
      </c>
    </row>
    <row r="8" spans="1:16" x14ac:dyDescent="0.25">
      <c r="A8" t="s">
        <v>955</v>
      </c>
      <c r="B8" t="s">
        <v>964</v>
      </c>
      <c r="C8" t="s">
        <v>969</v>
      </c>
      <c r="F8" t="s">
        <v>923</v>
      </c>
      <c r="G8" t="s">
        <v>972</v>
      </c>
      <c r="H8" s="36" t="s">
        <v>288</v>
      </c>
      <c r="I8" s="40" t="s">
        <v>591</v>
      </c>
      <c r="J8" t="s">
        <v>607</v>
      </c>
      <c r="K8" s="37" t="s">
        <v>228</v>
      </c>
      <c r="L8" t="s">
        <v>273</v>
      </c>
      <c r="M8" t="s">
        <v>544</v>
      </c>
      <c r="N8" t="s">
        <v>551</v>
      </c>
      <c r="O8" s="37" t="s">
        <v>465</v>
      </c>
      <c r="P8" s="36" t="s">
        <v>413</v>
      </c>
    </row>
    <row r="9" spans="1:16" x14ac:dyDescent="0.25">
      <c r="A9" t="s">
        <v>959</v>
      </c>
      <c r="B9" t="s">
        <v>948</v>
      </c>
      <c r="F9" t="s">
        <v>931</v>
      </c>
      <c r="G9" t="s">
        <v>941</v>
      </c>
      <c r="H9" s="36" t="s">
        <v>289</v>
      </c>
      <c r="I9" s="40" t="s">
        <v>593</v>
      </c>
      <c r="J9" t="s">
        <v>608</v>
      </c>
      <c r="K9" s="37" t="s">
        <v>229</v>
      </c>
      <c r="L9" t="s">
        <v>763</v>
      </c>
      <c r="M9" t="s">
        <v>781</v>
      </c>
      <c r="N9" t="s">
        <v>552</v>
      </c>
      <c r="O9" s="37" t="s">
        <v>466</v>
      </c>
      <c r="P9" s="36" t="s">
        <v>414</v>
      </c>
    </row>
    <row r="10" spans="1:16" x14ac:dyDescent="0.25">
      <c r="A10" t="s">
        <v>960</v>
      </c>
      <c r="B10" t="s">
        <v>949</v>
      </c>
      <c r="F10" t="s">
        <v>930</v>
      </c>
      <c r="G10" t="s">
        <v>973</v>
      </c>
      <c r="H10" s="36" t="s">
        <v>290</v>
      </c>
      <c r="I10" s="40" t="s">
        <v>594</v>
      </c>
      <c r="J10" t="s">
        <v>609</v>
      </c>
      <c r="K10" s="37" t="s">
        <v>230</v>
      </c>
      <c r="L10" t="s">
        <v>274</v>
      </c>
      <c r="M10" t="s">
        <v>782</v>
      </c>
      <c r="N10" t="s">
        <v>801</v>
      </c>
      <c r="O10" s="37" t="s">
        <v>467</v>
      </c>
      <c r="P10" s="36" t="s">
        <v>415</v>
      </c>
    </row>
    <row r="11" spans="1:16" x14ac:dyDescent="0.25">
      <c r="B11" t="s">
        <v>966</v>
      </c>
      <c r="F11" t="s">
        <v>924</v>
      </c>
      <c r="H11" s="36" t="s">
        <v>291</v>
      </c>
      <c r="I11" s="40" t="s">
        <v>595</v>
      </c>
      <c r="J11" t="s">
        <v>359</v>
      </c>
      <c r="K11" s="38" t="s">
        <v>231</v>
      </c>
      <c r="L11" t="s">
        <v>275</v>
      </c>
      <c r="M11" t="s">
        <v>783</v>
      </c>
      <c r="N11" t="s">
        <v>802</v>
      </c>
      <c r="O11" s="37" t="s">
        <v>468</v>
      </c>
      <c r="P11" s="36" t="s">
        <v>416</v>
      </c>
    </row>
    <row r="12" spans="1:16" x14ac:dyDescent="0.25">
      <c r="B12" t="s">
        <v>950</v>
      </c>
      <c r="F12" t="s">
        <v>925</v>
      </c>
      <c r="H12" s="36" t="s">
        <v>292</v>
      </c>
      <c r="I12" s="40" t="s">
        <v>597</v>
      </c>
      <c r="J12" t="s">
        <v>610</v>
      </c>
      <c r="K12" s="38" t="s">
        <v>232</v>
      </c>
      <c r="L12" t="s">
        <v>764</v>
      </c>
      <c r="M12" t="s">
        <v>545</v>
      </c>
      <c r="N12" t="s">
        <v>803</v>
      </c>
      <c r="O12" s="37" t="s">
        <v>469</v>
      </c>
      <c r="P12" s="36" t="s">
        <v>417</v>
      </c>
    </row>
    <row r="13" spans="1:16" x14ac:dyDescent="0.25">
      <c r="B13" t="s">
        <v>938</v>
      </c>
      <c r="F13" t="s">
        <v>926</v>
      </c>
      <c r="H13" s="36" t="s">
        <v>293</v>
      </c>
      <c r="I13" s="40" t="s">
        <v>596</v>
      </c>
      <c r="J13" t="s">
        <v>611</v>
      </c>
      <c r="K13" s="38" t="s">
        <v>233</v>
      </c>
      <c r="L13" t="s">
        <v>765</v>
      </c>
      <c r="M13" t="s">
        <v>784</v>
      </c>
      <c r="N13" t="s">
        <v>804</v>
      </c>
      <c r="O13" s="37" t="s">
        <v>470</v>
      </c>
      <c r="P13" s="36" t="s">
        <v>418</v>
      </c>
    </row>
    <row r="14" spans="1:16" x14ac:dyDescent="0.25">
      <c r="B14" t="s">
        <v>962</v>
      </c>
      <c r="F14" t="s">
        <v>927</v>
      </c>
      <c r="H14" s="36" t="s">
        <v>294</v>
      </c>
      <c r="I14" s="40" t="s">
        <v>592</v>
      </c>
      <c r="J14" t="s">
        <v>360</v>
      </c>
      <c r="K14" s="38" t="s">
        <v>234</v>
      </c>
      <c r="L14" t="s">
        <v>766</v>
      </c>
      <c r="M14" t="s">
        <v>546</v>
      </c>
      <c r="N14" t="s">
        <v>553</v>
      </c>
      <c r="O14" s="37" t="s">
        <v>471</v>
      </c>
      <c r="P14" s="36" t="s">
        <v>419</v>
      </c>
    </row>
    <row r="15" spans="1:16" x14ac:dyDescent="0.25">
      <c r="B15" t="s">
        <v>963</v>
      </c>
      <c r="F15" t="s">
        <v>928</v>
      </c>
      <c r="H15" s="36" t="s">
        <v>295</v>
      </c>
      <c r="I15" s="40" t="s">
        <v>598</v>
      </c>
      <c r="J15" t="s">
        <v>225</v>
      </c>
      <c r="K15" s="38" t="s">
        <v>719</v>
      </c>
      <c r="L15" t="s">
        <v>276</v>
      </c>
      <c r="M15" t="s">
        <v>785</v>
      </c>
      <c r="N15" t="s">
        <v>554</v>
      </c>
      <c r="O15" s="37" t="s">
        <v>472</v>
      </c>
      <c r="P15" s="36" t="s">
        <v>936</v>
      </c>
    </row>
    <row r="16" spans="1:16" x14ac:dyDescent="0.25">
      <c r="B16" t="s">
        <v>951</v>
      </c>
      <c r="F16" t="s">
        <v>929</v>
      </c>
      <c r="H16" s="36" t="s">
        <v>296</v>
      </c>
      <c r="I16" s="40" t="s">
        <v>599</v>
      </c>
      <c r="J16" t="s">
        <v>612</v>
      </c>
      <c r="K16" s="38" t="s">
        <v>720</v>
      </c>
      <c r="L16" t="s">
        <v>277</v>
      </c>
      <c r="M16" t="s">
        <v>547</v>
      </c>
      <c r="N16" t="s">
        <v>555</v>
      </c>
      <c r="O16" s="37" t="s">
        <v>473</v>
      </c>
      <c r="P16" s="36" t="s">
        <v>420</v>
      </c>
    </row>
    <row r="17" spans="2:16" x14ac:dyDescent="0.25">
      <c r="B17" t="s">
        <v>951</v>
      </c>
      <c r="H17" s="36" t="s">
        <v>297</v>
      </c>
      <c r="I17" s="40" t="s">
        <v>600</v>
      </c>
      <c r="J17" t="s">
        <v>361</v>
      </c>
      <c r="K17" s="38" t="s">
        <v>235</v>
      </c>
      <c r="L17" t="s">
        <v>278</v>
      </c>
      <c r="M17" t="s">
        <v>786</v>
      </c>
      <c r="N17" t="s">
        <v>556</v>
      </c>
      <c r="O17" s="37" t="s">
        <v>474</v>
      </c>
      <c r="P17" s="36" t="s">
        <v>421</v>
      </c>
    </row>
    <row r="18" spans="2:16" x14ac:dyDescent="0.25">
      <c r="B18" t="s">
        <v>961</v>
      </c>
      <c r="H18" s="36" t="s">
        <v>298</v>
      </c>
      <c r="I18" s="40" t="s">
        <v>601</v>
      </c>
      <c r="J18" t="s">
        <v>362</v>
      </c>
      <c r="K18" s="38" t="s">
        <v>236</v>
      </c>
      <c r="L18" t="s">
        <v>767</v>
      </c>
      <c r="M18" t="s">
        <v>787</v>
      </c>
      <c r="N18" t="s">
        <v>557</v>
      </c>
      <c r="O18" s="37" t="s">
        <v>475</v>
      </c>
      <c r="P18" s="36" t="s">
        <v>422</v>
      </c>
    </row>
    <row r="19" spans="2:16" x14ac:dyDescent="0.25">
      <c r="B19" t="s">
        <v>961</v>
      </c>
      <c r="H19" s="36" t="s">
        <v>299</v>
      </c>
      <c r="I19" s="40" t="s">
        <v>602</v>
      </c>
      <c r="J19" t="s">
        <v>228</v>
      </c>
      <c r="K19" s="37" t="s">
        <v>237</v>
      </c>
      <c r="L19" t="s">
        <v>768</v>
      </c>
      <c r="M19" t="s">
        <v>788</v>
      </c>
      <c r="N19" t="s">
        <v>558</v>
      </c>
      <c r="O19" s="37" t="s">
        <v>476</v>
      </c>
      <c r="P19" s="36" t="s">
        <v>423</v>
      </c>
    </row>
    <row r="20" spans="2:16" x14ac:dyDescent="0.25">
      <c r="B20" t="s">
        <v>955</v>
      </c>
      <c r="H20" s="36" t="s">
        <v>300</v>
      </c>
      <c r="J20" t="s">
        <v>613</v>
      </c>
      <c r="K20" s="37" t="s">
        <v>238</v>
      </c>
      <c r="L20" t="s">
        <v>769</v>
      </c>
      <c r="M20" t="s">
        <v>789</v>
      </c>
      <c r="N20" t="s">
        <v>559</v>
      </c>
      <c r="O20" s="37" t="s">
        <v>477</v>
      </c>
      <c r="P20" s="36" t="s">
        <v>424</v>
      </c>
    </row>
    <row r="21" spans="2:16" x14ac:dyDescent="0.25">
      <c r="B21" t="s">
        <v>967</v>
      </c>
      <c r="H21" s="36" t="s">
        <v>301</v>
      </c>
      <c r="J21" t="s">
        <v>614</v>
      </c>
      <c r="K21" s="37" t="s">
        <v>239</v>
      </c>
      <c r="L21" t="s">
        <v>279</v>
      </c>
      <c r="M21" t="s">
        <v>790</v>
      </c>
      <c r="N21" t="s">
        <v>805</v>
      </c>
      <c r="O21" s="37" t="s">
        <v>478</v>
      </c>
      <c r="P21" s="36" t="s">
        <v>425</v>
      </c>
    </row>
    <row r="22" spans="2:16" x14ac:dyDescent="0.25">
      <c r="H22" s="36" t="s">
        <v>302</v>
      </c>
      <c r="J22" t="s">
        <v>615</v>
      </c>
      <c r="K22" s="37" t="s">
        <v>721</v>
      </c>
      <c r="L22" t="s">
        <v>280</v>
      </c>
      <c r="M22" t="s">
        <v>791</v>
      </c>
      <c r="N22" t="s">
        <v>806</v>
      </c>
      <c r="O22" s="37" t="s">
        <v>479</v>
      </c>
      <c r="P22" s="36" t="s">
        <v>426</v>
      </c>
    </row>
    <row r="23" spans="2:16" x14ac:dyDescent="0.25">
      <c r="H23" s="36" t="s">
        <v>303</v>
      </c>
      <c r="J23" t="s">
        <v>363</v>
      </c>
      <c r="K23" s="37" t="s">
        <v>240</v>
      </c>
      <c r="L23" t="s">
        <v>770</v>
      </c>
      <c r="M23" t="s">
        <v>792</v>
      </c>
      <c r="N23" t="s">
        <v>807</v>
      </c>
      <c r="O23" s="37" t="s">
        <v>480</v>
      </c>
      <c r="P23" s="36" t="s">
        <v>427</v>
      </c>
    </row>
    <row r="24" spans="2:16" x14ac:dyDescent="0.25">
      <c r="H24" s="36" t="s">
        <v>304</v>
      </c>
      <c r="J24" t="s">
        <v>231</v>
      </c>
      <c r="K24" s="38" t="s">
        <v>722</v>
      </c>
      <c r="L24" t="s">
        <v>771</v>
      </c>
      <c r="M24" t="s">
        <v>793</v>
      </c>
      <c r="N24" t="s">
        <v>808</v>
      </c>
      <c r="O24" s="37" t="s">
        <v>481</v>
      </c>
      <c r="P24" s="36" t="s">
        <v>428</v>
      </c>
    </row>
    <row r="25" spans="2:16" x14ac:dyDescent="0.25">
      <c r="H25" s="36" t="s">
        <v>305</v>
      </c>
      <c r="J25" t="s">
        <v>616</v>
      </c>
      <c r="K25" s="38" t="s">
        <v>723</v>
      </c>
      <c r="L25" t="s">
        <v>281</v>
      </c>
      <c r="M25" t="s">
        <v>794</v>
      </c>
      <c r="N25" t="s">
        <v>809</v>
      </c>
      <c r="O25" s="37" t="s">
        <v>482</v>
      </c>
      <c r="P25" s="36" t="s">
        <v>429</v>
      </c>
    </row>
    <row r="26" spans="2:16" x14ac:dyDescent="0.25">
      <c r="H26" s="36" t="s">
        <v>306</v>
      </c>
      <c r="J26" t="s">
        <v>232</v>
      </c>
      <c r="K26" s="38" t="s">
        <v>724</v>
      </c>
      <c r="L26" t="s">
        <v>772</v>
      </c>
      <c r="M26" t="s">
        <v>795</v>
      </c>
      <c r="N26" t="s">
        <v>810</v>
      </c>
      <c r="O26" s="37" t="s">
        <v>483</v>
      </c>
      <c r="P26" s="36" t="s">
        <v>430</v>
      </c>
    </row>
    <row r="27" spans="2:16" x14ac:dyDescent="0.25">
      <c r="H27" s="36" t="s">
        <v>307</v>
      </c>
      <c r="J27" t="s">
        <v>617</v>
      </c>
      <c r="K27" s="38" t="s">
        <v>725</v>
      </c>
      <c r="L27" t="s">
        <v>773</v>
      </c>
      <c r="M27" t="s">
        <v>796</v>
      </c>
      <c r="N27" t="s">
        <v>811</v>
      </c>
      <c r="O27" s="37" t="s">
        <v>484</v>
      </c>
      <c r="P27" s="36" t="s">
        <v>431</v>
      </c>
    </row>
    <row r="28" spans="2:16" x14ac:dyDescent="0.25">
      <c r="H28" s="36" t="s">
        <v>308</v>
      </c>
      <c r="J28" t="s">
        <v>364</v>
      </c>
      <c r="K28" s="38" t="s">
        <v>241</v>
      </c>
      <c r="L28" t="s">
        <v>774</v>
      </c>
      <c r="M28" t="s">
        <v>797</v>
      </c>
      <c r="N28" t="s">
        <v>560</v>
      </c>
      <c r="O28" s="37" t="s">
        <v>485</v>
      </c>
      <c r="P28" s="36" t="s">
        <v>432</v>
      </c>
    </row>
    <row r="29" spans="2:16" x14ac:dyDescent="0.25">
      <c r="H29" s="36" t="s">
        <v>309</v>
      </c>
      <c r="J29" t="s">
        <v>365</v>
      </c>
      <c r="K29" s="38" t="s">
        <v>242</v>
      </c>
      <c r="L29" t="s">
        <v>775</v>
      </c>
      <c r="N29" t="s">
        <v>561</v>
      </c>
      <c r="O29" s="37" t="s">
        <v>486</v>
      </c>
      <c r="P29" s="36" t="s">
        <v>433</v>
      </c>
    </row>
    <row r="30" spans="2:16" x14ac:dyDescent="0.25">
      <c r="H30" s="36" t="s">
        <v>310</v>
      </c>
      <c r="J30" t="s">
        <v>366</v>
      </c>
      <c r="K30" s="38" t="s">
        <v>726</v>
      </c>
      <c r="L30" t="s">
        <v>776</v>
      </c>
      <c r="N30" t="s">
        <v>562</v>
      </c>
      <c r="O30" s="37" t="s">
        <v>487</v>
      </c>
      <c r="P30" s="36" t="s">
        <v>434</v>
      </c>
    </row>
    <row r="31" spans="2:16" x14ac:dyDescent="0.25">
      <c r="H31" s="36" t="s">
        <v>311</v>
      </c>
      <c r="J31" t="s">
        <v>618</v>
      </c>
      <c r="K31" s="38" t="s">
        <v>243</v>
      </c>
      <c r="N31" t="s">
        <v>563</v>
      </c>
      <c r="O31" s="37" t="s">
        <v>488</v>
      </c>
      <c r="P31" s="36" t="s">
        <v>435</v>
      </c>
    </row>
    <row r="32" spans="2:16" x14ac:dyDescent="0.25">
      <c r="H32" s="36" t="s">
        <v>312</v>
      </c>
      <c r="J32" t="s">
        <v>237</v>
      </c>
      <c r="K32" s="37" t="s">
        <v>244</v>
      </c>
      <c r="N32" t="s">
        <v>564</v>
      </c>
      <c r="O32" s="37" t="s">
        <v>489</v>
      </c>
      <c r="P32" s="36" t="s">
        <v>436</v>
      </c>
    </row>
    <row r="33" spans="8:16" x14ac:dyDescent="0.25">
      <c r="H33" s="36" t="s">
        <v>313</v>
      </c>
      <c r="J33" t="s">
        <v>619</v>
      </c>
      <c r="K33" s="37" t="s">
        <v>245</v>
      </c>
      <c r="N33" t="s">
        <v>812</v>
      </c>
      <c r="O33" s="37" t="s">
        <v>490</v>
      </c>
      <c r="P33" s="36" t="s">
        <v>437</v>
      </c>
    </row>
    <row r="34" spans="8:16" x14ac:dyDescent="0.25">
      <c r="H34" s="36" t="s">
        <v>314</v>
      </c>
      <c r="J34" t="s">
        <v>238</v>
      </c>
      <c r="K34" s="37" t="s">
        <v>727</v>
      </c>
      <c r="N34" t="s">
        <v>813</v>
      </c>
      <c r="O34" s="37" t="s">
        <v>491</v>
      </c>
      <c r="P34" s="36" t="s">
        <v>438</v>
      </c>
    </row>
    <row r="35" spans="8:16" x14ac:dyDescent="0.25">
      <c r="H35" s="36" t="s">
        <v>315</v>
      </c>
      <c r="J35" t="s">
        <v>239</v>
      </c>
      <c r="K35" s="37" t="s">
        <v>246</v>
      </c>
      <c r="N35" t="s">
        <v>814</v>
      </c>
      <c r="O35" s="37" t="s">
        <v>492</v>
      </c>
      <c r="P35" s="36" t="s">
        <v>439</v>
      </c>
    </row>
    <row r="36" spans="8:16" x14ac:dyDescent="0.25">
      <c r="H36" s="36" t="s">
        <v>316</v>
      </c>
      <c r="J36" t="s">
        <v>367</v>
      </c>
      <c r="K36" s="37" t="s">
        <v>728</v>
      </c>
      <c r="N36" t="s">
        <v>815</v>
      </c>
      <c r="O36" s="37" t="s">
        <v>493</v>
      </c>
      <c r="P36" s="36" t="s">
        <v>440</v>
      </c>
    </row>
    <row r="37" spans="8:16" x14ac:dyDescent="0.25">
      <c r="H37" s="36" t="s">
        <v>317</v>
      </c>
      <c r="J37" t="s">
        <v>620</v>
      </c>
      <c r="K37" s="37" t="s">
        <v>729</v>
      </c>
      <c r="N37" t="s">
        <v>816</v>
      </c>
      <c r="O37" s="37" t="s">
        <v>494</v>
      </c>
      <c r="P37" s="36" t="s">
        <v>441</v>
      </c>
    </row>
    <row r="38" spans="8:16" x14ac:dyDescent="0.25">
      <c r="H38" s="36" t="s">
        <v>318</v>
      </c>
      <c r="J38" t="s">
        <v>241</v>
      </c>
      <c r="K38" s="37" t="s">
        <v>730</v>
      </c>
      <c r="N38" t="s">
        <v>817</v>
      </c>
      <c r="O38" s="37" t="s">
        <v>495</v>
      </c>
      <c r="P38" s="36" t="s">
        <v>442</v>
      </c>
    </row>
    <row r="39" spans="8:16" x14ac:dyDescent="0.25">
      <c r="H39" s="36" t="s">
        <v>319</v>
      </c>
      <c r="J39" t="s">
        <v>621</v>
      </c>
      <c r="K39" s="37" t="s">
        <v>247</v>
      </c>
      <c r="N39" t="s">
        <v>818</v>
      </c>
      <c r="O39" s="37" t="s">
        <v>496</v>
      </c>
      <c r="P39" s="36" t="s">
        <v>443</v>
      </c>
    </row>
    <row r="40" spans="8:16" x14ac:dyDescent="0.25">
      <c r="H40" s="36" t="s">
        <v>320</v>
      </c>
      <c r="J40" t="s">
        <v>368</v>
      </c>
      <c r="K40" s="37" t="s">
        <v>248</v>
      </c>
      <c r="N40" t="s">
        <v>819</v>
      </c>
      <c r="O40" s="37" t="s">
        <v>497</v>
      </c>
      <c r="P40" s="36" t="s">
        <v>444</v>
      </c>
    </row>
    <row r="41" spans="8:16" x14ac:dyDescent="0.25">
      <c r="H41" s="36" t="s">
        <v>321</v>
      </c>
      <c r="J41" t="s">
        <v>242</v>
      </c>
      <c r="K41" s="37" t="s">
        <v>731</v>
      </c>
      <c r="N41" t="s">
        <v>820</v>
      </c>
      <c r="O41" s="37" t="s">
        <v>498</v>
      </c>
      <c r="P41" s="36" t="s">
        <v>445</v>
      </c>
    </row>
    <row r="42" spans="8:16" x14ac:dyDescent="0.25">
      <c r="H42" s="36" t="s">
        <v>322</v>
      </c>
      <c r="J42" t="s">
        <v>622</v>
      </c>
      <c r="K42" s="37" t="s">
        <v>249</v>
      </c>
      <c r="N42" t="s">
        <v>821</v>
      </c>
      <c r="O42" s="37" t="s">
        <v>499</v>
      </c>
      <c r="P42" s="36" t="s">
        <v>446</v>
      </c>
    </row>
    <row r="43" spans="8:16" x14ac:dyDescent="0.25">
      <c r="H43" s="36" t="s">
        <v>323</v>
      </c>
      <c r="J43" t="s">
        <v>623</v>
      </c>
      <c r="K43" s="37" t="s">
        <v>250</v>
      </c>
      <c r="N43" t="s">
        <v>822</v>
      </c>
      <c r="O43" s="37" t="s">
        <v>500</v>
      </c>
      <c r="P43" s="36" t="s">
        <v>447</v>
      </c>
    </row>
    <row r="44" spans="8:16" x14ac:dyDescent="0.25">
      <c r="H44" s="36" t="s">
        <v>324</v>
      </c>
      <c r="J44" t="s">
        <v>624</v>
      </c>
      <c r="K44" s="37" t="s">
        <v>634</v>
      </c>
      <c r="N44" t="s">
        <v>823</v>
      </c>
      <c r="O44" s="37" t="s">
        <v>501</v>
      </c>
      <c r="P44" s="36" t="s">
        <v>448</v>
      </c>
    </row>
    <row r="45" spans="8:16" x14ac:dyDescent="0.25">
      <c r="H45" s="36" t="s">
        <v>325</v>
      </c>
      <c r="J45" t="s">
        <v>625</v>
      </c>
      <c r="K45" s="37" t="s">
        <v>732</v>
      </c>
      <c r="N45" t="s">
        <v>824</v>
      </c>
      <c r="O45" s="37" t="s">
        <v>502</v>
      </c>
      <c r="P45" s="36" t="s">
        <v>449</v>
      </c>
    </row>
    <row r="46" spans="8:16" x14ac:dyDescent="0.25">
      <c r="H46" s="36" t="s">
        <v>326</v>
      </c>
      <c r="J46" t="s">
        <v>626</v>
      </c>
      <c r="K46" s="37" t="s">
        <v>733</v>
      </c>
      <c r="N46" t="s">
        <v>565</v>
      </c>
      <c r="O46" s="37" t="s">
        <v>503</v>
      </c>
      <c r="P46" s="36" t="s">
        <v>450</v>
      </c>
    </row>
    <row r="47" spans="8:16" x14ac:dyDescent="0.25">
      <c r="H47" s="36" t="s">
        <v>327</v>
      </c>
      <c r="J47" t="s">
        <v>369</v>
      </c>
      <c r="K47" s="37" t="s">
        <v>734</v>
      </c>
      <c r="N47" t="s">
        <v>566</v>
      </c>
      <c r="O47" s="37" t="s">
        <v>504</v>
      </c>
      <c r="P47" s="36" t="s">
        <v>451</v>
      </c>
    </row>
    <row r="48" spans="8:16" x14ac:dyDescent="0.25">
      <c r="H48" s="36" t="s">
        <v>328</v>
      </c>
      <c r="J48" t="s">
        <v>370</v>
      </c>
      <c r="K48" s="37" t="s">
        <v>735</v>
      </c>
      <c r="N48" t="s">
        <v>567</v>
      </c>
      <c r="O48" s="37" t="s">
        <v>505</v>
      </c>
      <c r="P48" s="36" t="s">
        <v>452</v>
      </c>
    </row>
    <row r="49" spans="8:16" x14ac:dyDescent="0.25">
      <c r="H49" s="36" t="s">
        <v>329</v>
      </c>
      <c r="J49" t="s">
        <v>627</v>
      </c>
      <c r="K49" s="37" t="s">
        <v>736</v>
      </c>
      <c r="N49" t="s">
        <v>568</v>
      </c>
      <c r="O49" s="37" t="s">
        <v>506</v>
      </c>
      <c r="P49" s="36" t="s">
        <v>453</v>
      </c>
    </row>
    <row r="50" spans="8:16" x14ac:dyDescent="0.25">
      <c r="H50" s="36" t="s">
        <v>330</v>
      </c>
      <c r="J50" t="s">
        <v>371</v>
      </c>
      <c r="K50" s="37" t="s">
        <v>737</v>
      </c>
      <c r="N50" t="s">
        <v>569</v>
      </c>
      <c r="O50" s="37" t="s">
        <v>507</v>
      </c>
      <c r="P50" s="36" t="s">
        <v>454</v>
      </c>
    </row>
    <row r="51" spans="8:16" x14ac:dyDescent="0.25">
      <c r="H51" s="36" t="s">
        <v>331</v>
      </c>
      <c r="J51" t="s">
        <v>628</v>
      </c>
      <c r="K51" s="37" t="s">
        <v>251</v>
      </c>
      <c r="N51" t="s">
        <v>570</v>
      </c>
      <c r="O51" s="37" t="s">
        <v>508</v>
      </c>
      <c r="P51" s="36" t="s">
        <v>455</v>
      </c>
    </row>
    <row r="52" spans="8:16" x14ac:dyDescent="0.25">
      <c r="H52" s="36" t="s">
        <v>332</v>
      </c>
      <c r="J52" t="s">
        <v>244</v>
      </c>
      <c r="K52" s="37" t="s">
        <v>738</v>
      </c>
      <c r="N52" t="s">
        <v>571</v>
      </c>
      <c r="O52" s="37" t="s">
        <v>509</v>
      </c>
      <c r="P52" s="36" t="s">
        <v>456</v>
      </c>
    </row>
    <row r="53" spans="8:16" x14ac:dyDescent="0.25">
      <c r="H53" s="36" t="s">
        <v>333</v>
      </c>
      <c r="J53" t="s">
        <v>245</v>
      </c>
      <c r="K53" s="37" t="s">
        <v>252</v>
      </c>
      <c r="N53" t="s">
        <v>572</v>
      </c>
      <c r="O53" s="37" t="s">
        <v>510</v>
      </c>
      <c r="P53" s="36" t="s">
        <v>457</v>
      </c>
    </row>
    <row r="54" spans="8:16" x14ac:dyDescent="0.25">
      <c r="H54" s="36" t="s">
        <v>334</v>
      </c>
      <c r="J54" t="s">
        <v>372</v>
      </c>
      <c r="K54" s="37" t="s">
        <v>253</v>
      </c>
      <c r="N54" t="s">
        <v>825</v>
      </c>
      <c r="O54" s="37" t="s">
        <v>511</v>
      </c>
      <c r="P54" s="36" t="s">
        <v>458</v>
      </c>
    </row>
    <row r="55" spans="8:16" x14ac:dyDescent="0.25">
      <c r="H55" s="36" t="s">
        <v>335</v>
      </c>
      <c r="J55" t="s">
        <v>629</v>
      </c>
      <c r="K55" s="37" t="s">
        <v>254</v>
      </c>
      <c r="N55" t="s">
        <v>826</v>
      </c>
      <c r="O55" s="37" t="s">
        <v>512</v>
      </c>
    </row>
    <row r="56" spans="8:16" x14ac:dyDescent="0.25">
      <c r="H56" s="36" t="s">
        <v>336</v>
      </c>
      <c r="J56" t="s">
        <v>247</v>
      </c>
      <c r="K56" s="37" t="s">
        <v>739</v>
      </c>
      <c r="N56" t="s">
        <v>827</v>
      </c>
      <c r="O56" s="37" t="s">
        <v>513</v>
      </c>
    </row>
    <row r="57" spans="8:16" x14ac:dyDescent="0.25">
      <c r="H57" s="36" t="s">
        <v>337</v>
      </c>
      <c r="J57" t="s">
        <v>248</v>
      </c>
      <c r="K57" s="37" t="s">
        <v>255</v>
      </c>
      <c r="N57" t="s">
        <v>828</v>
      </c>
      <c r="O57" s="37" t="s">
        <v>514</v>
      </c>
    </row>
    <row r="58" spans="8:16" x14ac:dyDescent="0.25">
      <c r="H58" s="36" t="s">
        <v>338</v>
      </c>
      <c r="J58" t="s">
        <v>630</v>
      </c>
      <c r="K58" s="37" t="s">
        <v>740</v>
      </c>
      <c r="N58" t="s">
        <v>829</v>
      </c>
      <c r="O58" s="37" t="s">
        <v>515</v>
      </c>
    </row>
    <row r="59" spans="8:16" x14ac:dyDescent="0.25">
      <c r="H59" s="36" t="s">
        <v>339</v>
      </c>
      <c r="J59" t="s">
        <v>631</v>
      </c>
      <c r="K59" s="37" t="s">
        <v>741</v>
      </c>
      <c r="N59" t="s">
        <v>830</v>
      </c>
      <c r="O59" s="37" t="s">
        <v>516</v>
      </c>
    </row>
    <row r="60" spans="8:16" x14ac:dyDescent="0.25">
      <c r="H60" s="36" t="s">
        <v>340</v>
      </c>
      <c r="J60" t="s">
        <v>373</v>
      </c>
      <c r="K60" s="37" t="s">
        <v>742</v>
      </c>
      <c r="N60" t="s">
        <v>831</v>
      </c>
      <c r="O60" s="37" t="s">
        <v>517</v>
      </c>
    </row>
    <row r="61" spans="8:16" x14ac:dyDescent="0.25">
      <c r="H61" s="36" t="s">
        <v>341</v>
      </c>
      <c r="J61" t="s">
        <v>632</v>
      </c>
      <c r="K61" s="37" t="s">
        <v>743</v>
      </c>
      <c r="N61" t="s">
        <v>832</v>
      </c>
      <c r="O61" s="37" t="s">
        <v>518</v>
      </c>
    </row>
    <row r="62" spans="8:16" x14ac:dyDescent="0.25">
      <c r="H62" s="36" t="s">
        <v>342</v>
      </c>
      <c r="J62" t="s">
        <v>633</v>
      </c>
      <c r="K62" s="37" t="s">
        <v>256</v>
      </c>
      <c r="N62" t="s">
        <v>833</v>
      </c>
      <c r="O62" s="37" t="s">
        <v>519</v>
      </c>
    </row>
    <row r="63" spans="8:16" x14ac:dyDescent="0.25">
      <c r="H63" s="36" t="s">
        <v>343</v>
      </c>
      <c r="J63" t="s">
        <v>634</v>
      </c>
      <c r="K63" s="37" t="s">
        <v>639</v>
      </c>
      <c r="N63" t="s">
        <v>834</v>
      </c>
      <c r="O63" s="37" t="s">
        <v>520</v>
      </c>
    </row>
    <row r="64" spans="8:16" x14ac:dyDescent="0.25">
      <c r="H64" s="36" t="s">
        <v>344</v>
      </c>
      <c r="J64" t="s">
        <v>635</v>
      </c>
      <c r="K64" s="37" t="s">
        <v>257</v>
      </c>
      <c r="N64" t="s">
        <v>835</v>
      </c>
      <c r="O64" s="37" t="s">
        <v>521</v>
      </c>
    </row>
    <row r="65" spans="8:15" x14ac:dyDescent="0.25">
      <c r="H65" s="36" t="s">
        <v>345</v>
      </c>
      <c r="J65" t="s">
        <v>636</v>
      </c>
      <c r="K65" s="37" t="s">
        <v>258</v>
      </c>
      <c r="N65" t="s">
        <v>836</v>
      </c>
      <c r="O65" s="37" t="s">
        <v>522</v>
      </c>
    </row>
    <row r="66" spans="8:15" x14ac:dyDescent="0.25">
      <c r="H66" s="36" t="s">
        <v>346</v>
      </c>
      <c r="J66" t="s">
        <v>374</v>
      </c>
      <c r="K66" s="37" t="s">
        <v>259</v>
      </c>
      <c r="N66" t="s">
        <v>837</v>
      </c>
      <c r="O66" s="37" t="s">
        <v>523</v>
      </c>
    </row>
    <row r="67" spans="8:15" x14ac:dyDescent="0.25">
      <c r="H67" s="36" t="s">
        <v>347</v>
      </c>
      <c r="J67" t="s">
        <v>637</v>
      </c>
      <c r="K67" s="37" t="s">
        <v>744</v>
      </c>
      <c r="N67" t="s">
        <v>838</v>
      </c>
      <c r="O67" s="37" t="s">
        <v>524</v>
      </c>
    </row>
    <row r="68" spans="8:15" x14ac:dyDescent="0.25">
      <c r="H68" s="36" t="s">
        <v>348</v>
      </c>
      <c r="J68" t="s">
        <v>375</v>
      </c>
      <c r="K68" s="37" t="s">
        <v>260</v>
      </c>
      <c r="N68" t="s">
        <v>839</v>
      </c>
      <c r="O68" s="37" t="s">
        <v>525</v>
      </c>
    </row>
    <row r="69" spans="8:15" x14ac:dyDescent="0.25">
      <c r="H69" s="36" t="s">
        <v>349</v>
      </c>
      <c r="J69" t="s">
        <v>376</v>
      </c>
      <c r="K69" s="37" t="s">
        <v>745</v>
      </c>
      <c r="N69" t="s">
        <v>840</v>
      </c>
      <c r="O69" s="37" t="s">
        <v>526</v>
      </c>
    </row>
    <row r="70" spans="8:15" x14ac:dyDescent="0.25">
      <c r="H70" s="36" t="s">
        <v>350</v>
      </c>
      <c r="J70" t="s">
        <v>377</v>
      </c>
      <c r="K70" s="37" t="s">
        <v>746</v>
      </c>
      <c r="N70" t="s">
        <v>841</v>
      </c>
      <c r="O70" s="37" t="s">
        <v>527</v>
      </c>
    </row>
    <row r="71" spans="8:15" x14ac:dyDescent="0.25">
      <c r="H71" s="36" t="s">
        <v>351</v>
      </c>
      <c r="J71" t="s">
        <v>638</v>
      </c>
      <c r="K71" s="37" t="s">
        <v>747</v>
      </c>
      <c r="N71" t="s">
        <v>573</v>
      </c>
      <c r="O71" s="37" t="s">
        <v>528</v>
      </c>
    </row>
    <row r="72" spans="8:15" x14ac:dyDescent="0.25">
      <c r="H72" s="36" t="s">
        <v>352</v>
      </c>
      <c r="J72" t="s">
        <v>378</v>
      </c>
      <c r="K72" s="37" t="s">
        <v>748</v>
      </c>
      <c r="N72" t="s">
        <v>574</v>
      </c>
      <c r="O72" s="37" t="s">
        <v>529</v>
      </c>
    </row>
    <row r="73" spans="8:15" x14ac:dyDescent="0.25">
      <c r="H73" s="36" t="s">
        <v>353</v>
      </c>
      <c r="J73" t="s">
        <v>254</v>
      </c>
      <c r="K73" s="37" t="s">
        <v>749</v>
      </c>
      <c r="N73" t="s">
        <v>842</v>
      </c>
      <c r="O73" s="37" t="s">
        <v>530</v>
      </c>
    </row>
    <row r="74" spans="8:15" x14ac:dyDescent="0.25">
      <c r="H74" s="36" t="s">
        <v>354</v>
      </c>
      <c r="J74" t="s">
        <v>255</v>
      </c>
      <c r="K74" s="37" t="s">
        <v>645</v>
      </c>
      <c r="N74" t="s">
        <v>843</v>
      </c>
      <c r="O74" s="37" t="s">
        <v>531</v>
      </c>
    </row>
    <row r="75" spans="8:15" x14ac:dyDescent="0.25">
      <c r="H75" s="36" t="s">
        <v>355</v>
      </c>
      <c r="J75" t="s">
        <v>379</v>
      </c>
      <c r="K75" s="37" t="s">
        <v>261</v>
      </c>
      <c r="N75" t="s">
        <v>844</v>
      </c>
      <c r="O75" s="37" t="s">
        <v>532</v>
      </c>
    </row>
    <row r="76" spans="8:15" x14ac:dyDescent="0.25">
      <c r="H76" s="36" t="s">
        <v>356</v>
      </c>
      <c r="J76" t="s">
        <v>380</v>
      </c>
      <c r="K76" s="37" t="s">
        <v>262</v>
      </c>
      <c r="N76" t="s">
        <v>845</v>
      </c>
      <c r="O76" s="37" t="s">
        <v>533</v>
      </c>
    </row>
    <row r="77" spans="8:15" x14ac:dyDescent="0.25">
      <c r="J77" t="s">
        <v>256</v>
      </c>
      <c r="K77" s="37" t="s">
        <v>750</v>
      </c>
      <c r="N77" t="s">
        <v>846</v>
      </c>
      <c r="O77" s="37" t="s">
        <v>534</v>
      </c>
    </row>
    <row r="78" spans="8:15" x14ac:dyDescent="0.25">
      <c r="J78" t="s">
        <v>639</v>
      </c>
      <c r="K78" s="37" t="s">
        <v>751</v>
      </c>
      <c r="N78" t="s">
        <v>847</v>
      </c>
      <c r="O78" s="37" t="s">
        <v>535</v>
      </c>
    </row>
    <row r="79" spans="8:15" x14ac:dyDescent="0.25">
      <c r="J79" t="s">
        <v>257</v>
      </c>
      <c r="K79" s="37" t="s">
        <v>752</v>
      </c>
      <c r="N79" t="s">
        <v>848</v>
      </c>
      <c r="O79" s="37" t="s">
        <v>536</v>
      </c>
    </row>
    <row r="80" spans="8:15" x14ac:dyDescent="0.25">
      <c r="J80" t="s">
        <v>258</v>
      </c>
      <c r="K80" s="37" t="s">
        <v>651</v>
      </c>
      <c r="N80" t="s">
        <v>849</v>
      </c>
      <c r="O80" s="37" t="s">
        <v>537</v>
      </c>
    </row>
    <row r="81" spans="10:15" x14ac:dyDescent="0.25">
      <c r="J81" t="s">
        <v>640</v>
      </c>
      <c r="K81" s="37" t="s">
        <v>263</v>
      </c>
      <c r="N81" t="s">
        <v>850</v>
      </c>
      <c r="O81" s="37" t="s">
        <v>538</v>
      </c>
    </row>
    <row r="82" spans="10:15" x14ac:dyDescent="0.25">
      <c r="J82" t="s">
        <v>641</v>
      </c>
      <c r="K82" s="37" t="s">
        <v>652</v>
      </c>
      <c r="N82" t="s">
        <v>851</v>
      </c>
      <c r="O82" s="37" t="s">
        <v>539</v>
      </c>
    </row>
    <row r="83" spans="10:15" x14ac:dyDescent="0.25">
      <c r="J83" t="s">
        <v>642</v>
      </c>
      <c r="K83" s="37" t="s">
        <v>753</v>
      </c>
      <c r="N83" t="s">
        <v>852</v>
      </c>
      <c r="O83" s="37" t="s">
        <v>540</v>
      </c>
    </row>
    <row r="84" spans="10:15" x14ac:dyDescent="0.25">
      <c r="J84" t="s">
        <v>643</v>
      </c>
      <c r="K84" s="37" t="s">
        <v>754</v>
      </c>
      <c r="N84" t="s">
        <v>853</v>
      </c>
      <c r="O84" s="37" t="s">
        <v>541</v>
      </c>
    </row>
    <row r="85" spans="10:15" x14ac:dyDescent="0.25">
      <c r="J85" t="s">
        <v>381</v>
      </c>
      <c r="K85" s="37" t="s">
        <v>755</v>
      </c>
      <c r="N85" t="s">
        <v>854</v>
      </c>
    </row>
    <row r="86" spans="10:15" x14ac:dyDescent="0.25">
      <c r="J86" t="s">
        <v>259</v>
      </c>
      <c r="K86" s="37" t="s">
        <v>264</v>
      </c>
      <c r="N86" t="s">
        <v>855</v>
      </c>
    </row>
    <row r="87" spans="10:15" x14ac:dyDescent="0.25">
      <c r="J87" t="s">
        <v>644</v>
      </c>
      <c r="K87" s="37" t="s">
        <v>265</v>
      </c>
      <c r="N87" t="s">
        <v>856</v>
      </c>
    </row>
    <row r="88" spans="10:15" x14ac:dyDescent="0.25">
      <c r="J88" t="s">
        <v>260</v>
      </c>
      <c r="K88" s="37" t="s">
        <v>756</v>
      </c>
      <c r="N88" t="s">
        <v>857</v>
      </c>
    </row>
    <row r="89" spans="10:15" x14ac:dyDescent="0.25">
      <c r="J89" t="s">
        <v>382</v>
      </c>
      <c r="K89" s="37" t="s">
        <v>757</v>
      </c>
      <c r="N89" t="s">
        <v>858</v>
      </c>
    </row>
    <row r="90" spans="10:15" x14ac:dyDescent="0.25">
      <c r="J90" t="s">
        <v>383</v>
      </c>
      <c r="K90" s="37" t="s">
        <v>758</v>
      </c>
      <c r="N90" t="s">
        <v>859</v>
      </c>
    </row>
    <row r="91" spans="10:15" x14ac:dyDescent="0.25">
      <c r="J91" t="s">
        <v>645</v>
      </c>
      <c r="K91" s="37" t="s">
        <v>759</v>
      </c>
      <c r="N91" t="s">
        <v>860</v>
      </c>
    </row>
    <row r="92" spans="10:15" x14ac:dyDescent="0.25">
      <c r="J92" t="s">
        <v>261</v>
      </c>
      <c r="K92" s="37" t="s">
        <v>266</v>
      </c>
      <c r="N92" t="s">
        <v>861</v>
      </c>
    </row>
    <row r="93" spans="10:15" x14ac:dyDescent="0.25">
      <c r="J93" t="s">
        <v>262</v>
      </c>
      <c r="K93" s="37" t="s">
        <v>676</v>
      </c>
      <c r="N93" t="s">
        <v>862</v>
      </c>
    </row>
    <row r="94" spans="10:15" x14ac:dyDescent="0.25">
      <c r="J94" t="s">
        <v>646</v>
      </c>
      <c r="K94" s="37" t="s">
        <v>267</v>
      </c>
      <c r="N94" t="s">
        <v>863</v>
      </c>
    </row>
    <row r="95" spans="10:15" x14ac:dyDescent="0.25">
      <c r="J95" t="s">
        <v>384</v>
      </c>
      <c r="K95" s="37" t="s">
        <v>760</v>
      </c>
      <c r="N95" t="s">
        <v>864</v>
      </c>
    </row>
    <row r="96" spans="10:15" x14ac:dyDescent="0.25">
      <c r="J96" t="s">
        <v>385</v>
      </c>
      <c r="K96" s="37" t="s">
        <v>761</v>
      </c>
      <c r="N96" t="s">
        <v>865</v>
      </c>
    </row>
    <row r="97" spans="10:14" x14ac:dyDescent="0.25">
      <c r="J97" t="s">
        <v>647</v>
      </c>
      <c r="N97" t="s">
        <v>866</v>
      </c>
    </row>
    <row r="98" spans="10:14" x14ac:dyDescent="0.25">
      <c r="J98" t="s">
        <v>648</v>
      </c>
      <c r="N98" t="s">
        <v>867</v>
      </c>
    </row>
    <row r="99" spans="10:14" x14ac:dyDescent="0.25">
      <c r="J99" t="s">
        <v>386</v>
      </c>
      <c r="N99" t="s">
        <v>868</v>
      </c>
    </row>
    <row r="100" spans="10:14" x14ac:dyDescent="0.25">
      <c r="J100" t="s">
        <v>387</v>
      </c>
      <c r="N100" t="s">
        <v>869</v>
      </c>
    </row>
    <row r="101" spans="10:14" x14ac:dyDescent="0.25">
      <c r="J101" t="s">
        <v>649</v>
      </c>
      <c r="N101" t="s">
        <v>870</v>
      </c>
    </row>
    <row r="102" spans="10:14" x14ac:dyDescent="0.25">
      <c r="J102" t="s">
        <v>650</v>
      </c>
      <c r="N102" t="s">
        <v>871</v>
      </c>
    </row>
    <row r="103" spans="10:14" x14ac:dyDescent="0.25">
      <c r="J103" t="s">
        <v>388</v>
      </c>
      <c r="N103" t="s">
        <v>872</v>
      </c>
    </row>
    <row r="104" spans="10:14" x14ac:dyDescent="0.25">
      <c r="J104" t="s">
        <v>389</v>
      </c>
      <c r="N104" t="s">
        <v>873</v>
      </c>
    </row>
    <row r="105" spans="10:14" x14ac:dyDescent="0.25">
      <c r="J105" t="s">
        <v>651</v>
      </c>
      <c r="N105" t="s">
        <v>874</v>
      </c>
    </row>
    <row r="106" spans="10:14" x14ac:dyDescent="0.25">
      <c r="J106" t="s">
        <v>263</v>
      </c>
      <c r="N106" t="s">
        <v>875</v>
      </c>
    </row>
    <row r="107" spans="10:14" x14ac:dyDescent="0.25">
      <c r="J107" t="s">
        <v>652</v>
      </c>
      <c r="N107" t="s">
        <v>575</v>
      </c>
    </row>
    <row r="108" spans="10:14" x14ac:dyDescent="0.25">
      <c r="J108" t="s">
        <v>653</v>
      </c>
      <c r="N108" t="s">
        <v>576</v>
      </c>
    </row>
    <row r="109" spans="10:14" x14ac:dyDescent="0.25">
      <c r="J109" t="s">
        <v>390</v>
      </c>
      <c r="N109" t="s">
        <v>577</v>
      </c>
    </row>
    <row r="110" spans="10:14" x14ac:dyDescent="0.25">
      <c r="J110" t="s">
        <v>654</v>
      </c>
      <c r="N110" t="s">
        <v>578</v>
      </c>
    </row>
    <row r="111" spans="10:14" x14ac:dyDescent="0.25">
      <c r="J111" t="s">
        <v>264</v>
      </c>
      <c r="N111" t="s">
        <v>579</v>
      </c>
    </row>
    <row r="112" spans="10:14" x14ac:dyDescent="0.25">
      <c r="J112" t="s">
        <v>655</v>
      </c>
      <c r="N112" t="s">
        <v>876</v>
      </c>
    </row>
    <row r="113" spans="10:14" x14ac:dyDescent="0.25">
      <c r="J113" t="s">
        <v>265</v>
      </c>
      <c r="N113" t="s">
        <v>877</v>
      </c>
    </row>
    <row r="114" spans="10:14" x14ac:dyDescent="0.25">
      <c r="J114" t="s">
        <v>656</v>
      </c>
      <c r="N114" t="s">
        <v>878</v>
      </c>
    </row>
    <row r="115" spans="10:14" x14ac:dyDescent="0.25">
      <c r="J115" t="s">
        <v>657</v>
      </c>
      <c r="N115" t="s">
        <v>879</v>
      </c>
    </row>
    <row r="116" spans="10:14" x14ac:dyDescent="0.25">
      <c r="J116" t="s">
        <v>658</v>
      </c>
      <c r="N116" t="s">
        <v>880</v>
      </c>
    </row>
    <row r="117" spans="10:14" x14ac:dyDescent="0.25">
      <c r="J117" t="s">
        <v>659</v>
      </c>
      <c r="N117" t="s">
        <v>881</v>
      </c>
    </row>
    <row r="118" spans="10:14" x14ac:dyDescent="0.25">
      <c r="J118" t="s">
        <v>660</v>
      </c>
      <c r="N118" t="s">
        <v>580</v>
      </c>
    </row>
    <row r="119" spans="10:14" x14ac:dyDescent="0.25">
      <c r="J119" t="s">
        <v>661</v>
      </c>
      <c r="N119" t="s">
        <v>581</v>
      </c>
    </row>
    <row r="120" spans="10:14" x14ac:dyDescent="0.25">
      <c r="J120" t="s">
        <v>662</v>
      </c>
      <c r="N120" t="s">
        <v>882</v>
      </c>
    </row>
    <row r="121" spans="10:14" x14ac:dyDescent="0.25">
      <c r="J121" t="s">
        <v>663</v>
      </c>
      <c r="N121" t="s">
        <v>582</v>
      </c>
    </row>
    <row r="122" spans="10:14" x14ac:dyDescent="0.25">
      <c r="J122" t="s">
        <v>664</v>
      </c>
      <c r="N122" t="s">
        <v>883</v>
      </c>
    </row>
    <row r="123" spans="10:14" x14ac:dyDescent="0.25">
      <c r="J123" t="s">
        <v>665</v>
      </c>
      <c r="N123" t="s">
        <v>884</v>
      </c>
    </row>
    <row r="124" spans="10:14" x14ac:dyDescent="0.25">
      <c r="J124" t="s">
        <v>391</v>
      </c>
      <c r="N124" t="s">
        <v>885</v>
      </c>
    </row>
    <row r="125" spans="10:14" x14ac:dyDescent="0.25">
      <c r="J125" t="s">
        <v>666</v>
      </c>
      <c r="N125" t="s">
        <v>886</v>
      </c>
    </row>
    <row r="126" spans="10:14" x14ac:dyDescent="0.25">
      <c r="J126" t="s">
        <v>667</v>
      </c>
      <c r="N126" t="s">
        <v>887</v>
      </c>
    </row>
    <row r="127" spans="10:14" x14ac:dyDescent="0.25">
      <c r="J127" t="s">
        <v>668</v>
      </c>
      <c r="N127" t="s">
        <v>888</v>
      </c>
    </row>
    <row r="128" spans="10:14" x14ac:dyDescent="0.25">
      <c r="J128" t="s">
        <v>669</v>
      </c>
      <c r="N128" t="s">
        <v>889</v>
      </c>
    </row>
    <row r="129" spans="10:14" x14ac:dyDescent="0.25">
      <c r="J129" t="s">
        <v>670</v>
      </c>
      <c r="N129" t="s">
        <v>890</v>
      </c>
    </row>
    <row r="130" spans="10:14" x14ac:dyDescent="0.25">
      <c r="J130" t="s">
        <v>392</v>
      </c>
      <c r="N130" t="s">
        <v>891</v>
      </c>
    </row>
    <row r="131" spans="10:14" x14ac:dyDescent="0.25">
      <c r="J131" t="s">
        <v>393</v>
      </c>
      <c r="N131" t="s">
        <v>892</v>
      </c>
    </row>
    <row r="132" spans="10:14" x14ac:dyDescent="0.25">
      <c r="J132" t="s">
        <v>671</v>
      </c>
      <c r="N132" t="s">
        <v>893</v>
      </c>
    </row>
    <row r="133" spans="10:14" x14ac:dyDescent="0.25">
      <c r="J133" t="s">
        <v>672</v>
      </c>
      <c r="N133" t="s">
        <v>894</v>
      </c>
    </row>
    <row r="134" spans="10:14" x14ac:dyDescent="0.25">
      <c r="J134" t="s">
        <v>266</v>
      </c>
      <c r="N134" t="s">
        <v>895</v>
      </c>
    </row>
    <row r="135" spans="10:14" x14ac:dyDescent="0.25">
      <c r="J135" t="s">
        <v>673</v>
      </c>
      <c r="N135" t="s">
        <v>896</v>
      </c>
    </row>
    <row r="136" spans="10:14" x14ac:dyDescent="0.25">
      <c r="J136" t="s">
        <v>394</v>
      </c>
      <c r="N136" t="s">
        <v>897</v>
      </c>
    </row>
    <row r="137" spans="10:14" x14ac:dyDescent="0.25">
      <c r="J137" t="s">
        <v>674</v>
      </c>
      <c r="N137" t="s">
        <v>898</v>
      </c>
    </row>
    <row r="138" spans="10:14" x14ac:dyDescent="0.25">
      <c r="J138" t="s">
        <v>675</v>
      </c>
      <c r="N138" t="s">
        <v>899</v>
      </c>
    </row>
    <row r="139" spans="10:14" x14ac:dyDescent="0.25">
      <c r="J139" t="s">
        <v>676</v>
      </c>
      <c r="N139" t="s">
        <v>900</v>
      </c>
    </row>
    <row r="140" spans="10:14" x14ac:dyDescent="0.25">
      <c r="J140" t="s">
        <v>677</v>
      </c>
      <c r="N140" t="s">
        <v>901</v>
      </c>
    </row>
    <row r="141" spans="10:14" x14ac:dyDescent="0.25">
      <c r="J141" t="s">
        <v>395</v>
      </c>
      <c r="N141" t="s">
        <v>902</v>
      </c>
    </row>
    <row r="142" spans="10:14" x14ac:dyDescent="0.25">
      <c r="J142" t="s">
        <v>678</v>
      </c>
      <c r="N142" t="s">
        <v>903</v>
      </c>
    </row>
    <row r="143" spans="10:14" x14ac:dyDescent="0.25">
      <c r="J143" t="s">
        <v>396</v>
      </c>
      <c r="N143" t="s">
        <v>904</v>
      </c>
    </row>
    <row r="144" spans="10:14" x14ac:dyDescent="0.25">
      <c r="J144" t="s">
        <v>267</v>
      </c>
      <c r="N144" t="s">
        <v>905</v>
      </c>
    </row>
    <row r="145" spans="10:14" x14ac:dyDescent="0.25">
      <c r="J145" t="s">
        <v>679</v>
      </c>
      <c r="N145" t="s">
        <v>906</v>
      </c>
    </row>
    <row r="146" spans="10:14" x14ac:dyDescent="0.25">
      <c r="J146" t="s">
        <v>680</v>
      </c>
      <c r="N146" t="s">
        <v>583</v>
      </c>
    </row>
    <row r="147" spans="10:14" x14ac:dyDescent="0.25">
      <c r="J147" t="s">
        <v>681</v>
      </c>
      <c r="N147" t="s">
        <v>584</v>
      </c>
    </row>
    <row r="148" spans="10:14" x14ac:dyDescent="0.25">
      <c r="J148" t="s">
        <v>682</v>
      </c>
      <c r="N148" t="s">
        <v>907</v>
      </c>
    </row>
    <row r="149" spans="10:14" x14ac:dyDescent="0.25">
      <c r="J149" t="s">
        <v>683</v>
      </c>
      <c r="N149" t="s">
        <v>908</v>
      </c>
    </row>
    <row r="150" spans="10:14" x14ac:dyDescent="0.25">
      <c r="J150" t="s">
        <v>397</v>
      </c>
      <c r="N150" t="s">
        <v>909</v>
      </c>
    </row>
    <row r="151" spans="10:14" x14ac:dyDescent="0.25">
      <c r="J151" t="s">
        <v>684</v>
      </c>
      <c r="N151" t="s">
        <v>910</v>
      </c>
    </row>
    <row r="152" spans="10:14" x14ac:dyDescent="0.25">
      <c r="J152" t="s">
        <v>685</v>
      </c>
      <c r="N152" t="s">
        <v>911</v>
      </c>
    </row>
    <row r="153" spans="10:14" x14ac:dyDescent="0.25">
      <c r="J153" t="s">
        <v>398</v>
      </c>
      <c r="N153" t="s">
        <v>912</v>
      </c>
    </row>
    <row r="154" spans="10:14" x14ac:dyDescent="0.25">
      <c r="J154" t="s">
        <v>686</v>
      </c>
      <c r="N154" t="s">
        <v>913</v>
      </c>
    </row>
    <row r="155" spans="10:14" x14ac:dyDescent="0.25">
      <c r="J155" t="s">
        <v>399</v>
      </c>
      <c r="N155" t="s">
        <v>914</v>
      </c>
    </row>
    <row r="156" spans="10:14" x14ac:dyDescent="0.25">
      <c r="J156" t="s">
        <v>400</v>
      </c>
      <c r="N156" t="s">
        <v>915</v>
      </c>
    </row>
    <row r="157" spans="10:14" x14ac:dyDescent="0.25">
      <c r="J157" t="s">
        <v>687</v>
      </c>
      <c r="N157" t="s">
        <v>916</v>
      </c>
    </row>
    <row r="158" spans="10:14" x14ac:dyDescent="0.25">
      <c r="J158" t="s">
        <v>688</v>
      </c>
      <c r="N158" t="s">
        <v>917</v>
      </c>
    </row>
    <row r="159" spans="10:14" x14ac:dyDescent="0.25">
      <c r="J159" t="s">
        <v>689</v>
      </c>
      <c r="N159" t="s">
        <v>918</v>
      </c>
    </row>
    <row r="160" spans="10:14" x14ac:dyDescent="0.25">
      <c r="J160" t="s">
        <v>401</v>
      </c>
      <c r="N160" t="s">
        <v>919</v>
      </c>
    </row>
    <row r="161" spans="10:14" x14ac:dyDescent="0.25">
      <c r="J161" t="s">
        <v>402</v>
      </c>
      <c r="N161" t="s">
        <v>920</v>
      </c>
    </row>
    <row r="162" spans="10:14" x14ac:dyDescent="0.25">
      <c r="J162" t="s">
        <v>690</v>
      </c>
    </row>
    <row r="163" spans="10:14" x14ac:dyDescent="0.25">
      <c r="J163" t="s">
        <v>691</v>
      </c>
    </row>
    <row r="164" spans="10:14" x14ac:dyDescent="0.25">
      <c r="J164" t="s">
        <v>692</v>
      </c>
    </row>
    <row r="165" spans="10:14" x14ac:dyDescent="0.25">
      <c r="J165" t="s">
        <v>693</v>
      </c>
    </row>
    <row r="166" spans="10:14" x14ac:dyDescent="0.25">
      <c r="J166" t="s">
        <v>694</v>
      </c>
    </row>
    <row r="167" spans="10:14" x14ac:dyDescent="0.25">
      <c r="J167" t="s">
        <v>695</v>
      </c>
    </row>
    <row r="168" spans="10:14" x14ac:dyDescent="0.25">
      <c r="J168" t="s">
        <v>403</v>
      </c>
    </row>
    <row r="169" spans="10:14" x14ac:dyDescent="0.25">
      <c r="J169" t="s">
        <v>696</v>
      </c>
    </row>
    <row r="170" spans="10:14" x14ac:dyDescent="0.25">
      <c r="J170" t="s">
        <v>697</v>
      </c>
    </row>
    <row r="171" spans="10:14" x14ac:dyDescent="0.25">
      <c r="J171" t="s">
        <v>404</v>
      </c>
    </row>
    <row r="172" spans="10:14" x14ac:dyDescent="0.25">
      <c r="J172" t="s">
        <v>405</v>
      </c>
    </row>
    <row r="173" spans="10:14" x14ac:dyDescent="0.25">
      <c r="J173" t="s">
        <v>698</v>
      </c>
    </row>
    <row r="174" spans="10:14" x14ac:dyDescent="0.25">
      <c r="J174" t="s">
        <v>699</v>
      </c>
    </row>
    <row r="175" spans="10:14" x14ac:dyDescent="0.25">
      <c r="J175" t="s">
        <v>700</v>
      </c>
    </row>
    <row r="176" spans="10:14" x14ac:dyDescent="0.25">
      <c r="J176" t="s">
        <v>701</v>
      </c>
    </row>
    <row r="177" spans="10:10" x14ac:dyDescent="0.25">
      <c r="J177" t="s">
        <v>702</v>
      </c>
    </row>
    <row r="178" spans="10:10" x14ac:dyDescent="0.25">
      <c r="J178" t="s">
        <v>703</v>
      </c>
    </row>
    <row r="179" spans="10:10" x14ac:dyDescent="0.25">
      <c r="J179" t="s">
        <v>704</v>
      </c>
    </row>
    <row r="180" spans="10:10" x14ac:dyDescent="0.25">
      <c r="J180" t="s">
        <v>705</v>
      </c>
    </row>
    <row r="181" spans="10:10" x14ac:dyDescent="0.25">
      <c r="J181" t="s">
        <v>706</v>
      </c>
    </row>
    <row r="182" spans="10:10" x14ac:dyDescent="0.25">
      <c r="J182" t="s">
        <v>707</v>
      </c>
    </row>
    <row r="183" spans="10:10" x14ac:dyDescent="0.25">
      <c r="J183" t="s">
        <v>708</v>
      </c>
    </row>
    <row r="184" spans="10:10" x14ac:dyDescent="0.25">
      <c r="J184" t="s">
        <v>709</v>
      </c>
    </row>
    <row r="185" spans="10:10" x14ac:dyDescent="0.25">
      <c r="J185" t="s">
        <v>710</v>
      </c>
    </row>
    <row r="186" spans="10:10" x14ac:dyDescent="0.25">
      <c r="J186" t="s">
        <v>711</v>
      </c>
    </row>
    <row r="187" spans="10:10" x14ac:dyDescent="0.25">
      <c r="J187" t="s">
        <v>712</v>
      </c>
    </row>
    <row r="188" spans="10:10" x14ac:dyDescent="0.25">
      <c r="J188" t="s">
        <v>713</v>
      </c>
    </row>
    <row r="189" spans="10:10" x14ac:dyDescent="0.25">
      <c r="J189" t="s">
        <v>714</v>
      </c>
    </row>
    <row r="190" spans="10:10" x14ac:dyDescent="0.25">
      <c r="J190" t="s">
        <v>715</v>
      </c>
    </row>
    <row r="191" spans="10:10" x14ac:dyDescent="0.25">
      <c r="J191" t="s">
        <v>716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5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.28515625" style="13" customWidth="1"/>
    <col min="2" max="2" width="10.85546875" customWidth="1"/>
    <col min="3" max="3" width="21.5703125" bestFit="1" customWidth="1"/>
    <col min="4" max="4" width="19" customWidth="1"/>
    <col min="5" max="5" width="51.28515625" style="14" customWidth="1"/>
  </cols>
  <sheetData>
    <row r="1" spans="1:5" s="12" customFormat="1" ht="15.75" thickBot="1" x14ac:dyDescent="0.3">
      <c r="A1" s="10" t="s">
        <v>199</v>
      </c>
      <c r="B1" s="10" t="s">
        <v>0</v>
      </c>
      <c r="C1" s="10" t="s">
        <v>198</v>
      </c>
      <c r="D1" s="10" t="s">
        <v>200</v>
      </c>
      <c r="E1" s="11" t="s">
        <v>201</v>
      </c>
    </row>
    <row r="2" spans="1:5" ht="15.75" thickTop="1" x14ac:dyDescent="0.25">
      <c r="A2"/>
      <c r="E2"/>
    </row>
    <row r="3" spans="1:5" x14ac:dyDescent="0.25">
      <c r="A3"/>
      <c r="E3"/>
    </row>
    <row r="4" spans="1:5" x14ac:dyDescent="0.25">
      <c r="A4"/>
      <c r="E4"/>
    </row>
    <row r="5" spans="1:5" x14ac:dyDescent="0.25">
      <c r="A5"/>
      <c r="E5"/>
    </row>
    <row r="6" spans="1:5" x14ac:dyDescent="0.25">
      <c r="A6"/>
      <c r="E6"/>
    </row>
    <row r="7" spans="1:5" x14ac:dyDescent="0.25">
      <c r="A7"/>
      <c r="E7"/>
    </row>
    <row r="8" spans="1:5" x14ac:dyDescent="0.25">
      <c r="A8"/>
      <c r="E8"/>
    </row>
    <row r="9" spans="1:5" x14ac:dyDescent="0.25">
      <c r="A9"/>
      <c r="E9"/>
    </row>
    <row r="10" spans="1:5" x14ac:dyDescent="0.25">
      <c r="A10"/>
      <c r="E10"/>
    </row>
    <row r="11" spans="1:5" x14ac:dyDescent="0.25">
      <c r="A11"/>
      <c r="E11"/>
    </row>
    <row r="12" spans="1:5" x14ac:dyDescent="0.25">
      <c r="A12"/>
      <c r="E12"/>
    </row>
    <row r="13" spans="1:5" x14ac:dyDescent="0.25">
      <c r="A13"/>
      <c r="E13"/>
    </row>
    <row r="14" spans="1:5" x14ac:dyDescent="0.25">
      <c r="A14"/>
      <c r="E14"/>
    </row>
    <row r="15" spans="1:5" x14ac:dyDescent="0.25">
      <c r="A15"/>
      <c r="E15"/>
    </row>
    <row r="16" spans="1:5" x14ac:dyDescent="0.25">
      <c r="A16"/>
      <c r="E16"/>
    </row>
    <row r="17" spans="1:5" x14ac:dyDescent="0.25">
      <c r="A17"/>
      <c r="E17"/>
    </row>
    <row r="18" spans="1:5" x14ac:dyDescent="0.25">
      <c r="A18"/>
      <c r="E18"/>
    </row>
    <row r="19" spans="1:5" x14ac:dyDescent="0.25">
      <c r="A19"/>
      <c r="E19"/>
    </row>
    <row r="20" spans="1:5" x14ac:dyDescent="0.25">
      <c r="A20"/>
      <c r="E20"/>
    </row>
    <row r="21" spans="1:5" x14ac:dyDescent="0.25">
      <c r="A21"/>
      <c r="E21"/>
    </row>
    <row r="22" spans="1:5" x14ac:dyDescent="0.25">
      <c r="A22"/>
      <c r="E22"/>
    </row>
    <row r="23" spans="1:5" x14ac:dyDescent="0.25">
      <c r="A23"/>
      <c r="E23"/>
    </row>
    <row r="24" spans="1:5" x14ac:dyDescent="0.25">
      <c r="A24"/>
      <c r="E24"/>
    </row>
    <row r="25" spans="1:5" x14ac:dyDescent="0.25">
      <c r="A25"/>
      <c r="E25"/>
    </row>
    <row r="26" spans="1:5" x14ac:dyDescent="0.25">
      <c r="A26"/>
      <c r="E26"/>
    </row>
    <row r="27" spans="1:5" x14ac:dyDescent="0.25">
      <c r="A27"/>
      <c r="E27"/>
    </row>
    <row r="28" spans="1:5" x14ac:dyDescent="0.25">
      <c r="A28"/>
      <c r="E28"/>
    </row>
    <row r="29" spans="1:5" x14ac:dyDescent="0.25">
      <c r="A29"/>
      <c r="E29"/>
    </row>
    <row r="30" spans="1:5" x14ac:dyDescent="0.25">
      <c r="A30"/>
      <c r="E30"/>
    </row>
    <row r="31" spans="1:5" x14ac:dyDescent="0.25">
      <c r="A31"/>
      <c r="E31"/>
    </row>
    <row r="32" spans="1:5" x14ac:dyDescent="0.25">
      <c r="A32"/>
      <c r="E32"/>
    </row>
    <row r="33" spans="1:5" x14ac:dyDescent="0.25">
      <c r="A33"/>
      <c r="E33"/>
    </row>
    <row r="34" spans="1:5" x14ac:dyDescent="0.25">
      <c r="A34"/>
      <c r="E34"/>
    </row>
    <row r="35" spans="1:5" x14ac:dyDescent="0.25">
      <c r="A35"/>
      <c r="E35"/>
    </row>
    <row r="36" spans="1:5" x14ac:dyDescent="0.25">
      <c r="A36"/>
      <c r="E36"/>
    </row>
    <row r="37" spans="1:5" x14ac:dyDescent="0.25">
      <c r="A37"/>
      <c r="E37"/>
    </row>
    <row r="38" spans="1:5" x14ac:dyDescent="0.25">
      <c r="A38"/>
      <c r="E38"/>
    </row>
    <row r="39" spans="1:5" x14ac:dyDescent="0.25">
      <c r="A39"/>
      <c r="E39"/>
    </row>
    <row r="40" spans="1:5" x14ac:dyDescent="0.25">
      <c r="A40"/>
      <c r="E40"/>
    </row>
    <row r="41" spans="1:5" x14ac:dyDescent="0.25">
      <c r="A41"/>
      <c r="E41"/>
    </row>
    <row r="42" spans="1:5" x14ac:dyDescent="0.25">
      <c r="A42"/>
      <c r="E42"/>
    </row>
    <row r="43" spans="1:5" x14ac:dyDescent="0.25">
      <c r="A43"/>
      <c r="E43"/>
    </row>
    <row r="44" spans="1:5" x14ac:dyDescent="0.25">
      <c r="A44"/>
      <c r="E44"/>
    </row>
    <row r="45" spans="1:5" x14ac:dyDescent="0.25">
      <c r="A45"/>
      <c r="E45"/>
    </row>
    <row r="46" spans="1:5" x14ac:dyDescent="0.25">
      <c r="A46"/>
      <c r="E46"/>
    </row>
    <row r="47" spans="1:5" x14ac:dyDescent="0.25">
      <c r="A47"/>
      <c r="E47"/>
    </row>
    <row r="48" spans="1:5" x14ac:dyDescent="0.25">
      <c r="A48"/>
      <c r="E48"/>
    </row>
    <row r="49" spans="1:5" x14ac:dyDescent="0.25">
      <c r="A49"/>
      <c r="E49"/>
    </row>
    <row r="50" spans="1:5" x14ac:dyDescent="0.25">
      <c r="A50"/>
      <c r="E50"/>
    </row>
    <row r="51" spans="1:5" x14ac:dyDescent="0.25">
      <c r="A51"/>
      <c r="E51"/>
    </row>
    <row r="52" spans="1:5" x14ac:dyDescent="0.25">
      <c r="A52"/>
      <c r="E52"/>
    </row>
    <row r="53" spans="1:5" x14ac:dyDescent="0.25">
      <c r="A53"/>
      <c r="E53"/>
    </row>
    <row r="54" spans="1:5" x14ac:dyDescent="0.25">
      <c r="A54"/>
      <c r="E54"/>
    </row>
    <row r="55" spans="1:5" x14ac:dyDescent="0.25">
      <c r="A55"/>
      <c r="E55"/>
    </row>
    <row r="56" spans="1:5" x14ac:dyDescent="0.25">
      <c r="A56"/>
      <c r="E56"/>
    </row>
    <row r="57" spans="1:5" x14ac:dyDescent="0.25">
      <c r="A57"/>
      <c r="E57"/>
    </row>
    <row r="58" spans="1:5" x14ac:dyDescent="0.25">
      <c r="A58"/>
      <c r="E58"/>
    </row>
    <row r="59" spans="1:5" x14ac:dyDescent="0.25">
      <c r="A59"/>
      <c r="E59"/>
    </row>
    <row r="60" spans="1:5" x14ac:dyDescent="0.25">
      <c r="A60"/>
      <c r="E60"/>
    </row>
    <row r="61" spans="1:5" x14ac:dyDescent="0.25">
      <c r="A61"/>
      <c r="E61"/>
    </row>
    <row r="62" spans="1:5" x14ac:dyDescent="0.25">
      <c r="A62"/>
      <c r="E62"/>
    </row>
    <row r="63" spans="1:5" x14ac:dyDescent="0.25">
      <c r="A63"/>
      <c r="E63"/>
    </row>
    <row r="64" spans="1:5" x14ac:dyDescent="0.25">
      <c r="A64"/>
      <c r="E64"/>
    </row>
    <row r="65" spans="1:5" x14ac:dyDescent="0.25">
      <c r="A65"/>
      <c r="E65"/>
    </row>
    <row r="66" spans="1:5" x14ac:dyDescent="0.25">
      <c r="A66"/>
      <c r="E66"/>
    </row>
    <row r="67" spans="1:5" x14ac:dyDescent="0.25">
      <c r="A67"/>
      <c r="E67"/>
    </row>
    <row r="68" spans="1:5" x14ac:dyDescent="0.25">
      <c r="A68"/>
      <c r="E68"/>
    </row>
    <row r="69" spans="1:5" x14ac:dyDescent="0.25">
      <c r="A69"/>
      <c r="E69"/>
    </row>
    <row r="70" spans="1:5" x14ac:dyDescent="0.25">
      <c r="A70"/>
      <c r="E70"/>
    </row>
    <row r="71" spans="1:5" x14ac:dyDescent="0.25">
      <c r="A71"/>
      <c r="E71"/>
    </row>
    <row r="72" spans="1:5" x14ac:dyDescent="0.25">
      <c r="A72"/>
      <c r="E72"/>
    </row>
    <row r="73" spans="1:5" x14ac:dyDescent="0.25">
      <c r="A73"/>
      <c r="E73"/>
    </row>
    <row r="74" spans="1:5" x14ac:dyDescent="0.25">
      <c r="A74"/>
      <c r="E74"/>
    </row>
    <row r="75" spans="1:5" x14ac:dyDescent="0.25">
      <c r="A75"/>
      <c r="E75"/>
    </row>
    <row r="76" spans="1:5" x14ac:dyDescent="0.25">
      <c r="A76"/>
      <c r="E76"/>
    </row>
    <row r="77" spans="1:5" x14ac:dyDescent="0.25">
      <c r="A77"/>
      <c r="E77"/>
    </row>
    <row r="78" spans="1:5" x14ac:dyDescent="0.25">
      <c r="A78"/>
      <c r="E78"/>
    </row>
    <row r="79" spans="1:5" x14ac:dyDescent="0.25">
      <c r="A79"/>
      <c r="E79"/>
    </row>
    <row r="80" spans="1:5" x14ac:dyDescent="0.25">
      <c r="A80"/>
      <c r="E80"/>
    </row>
    <row r="81" spans="1:5" x14ac:dyDescent="0.25">
      <c r="A81"/>
      <c r="E81"/>
    </row>
    <row r="82" spans="1:5" x14ac:dyDescent="0.25">
      <c r="A82"/>
      <c r="E82"/>
    </row>
    <row r="83" spans="1:5" x14ac:dyDescent="0.25">
      <c r="A83"/>
      <c r="E83"/>
    </row>
    <row r="84" spans="1:5" x14ac:dyDescent="0.25">
      <c r="A84"/>
      <c r="E84"/>
    </row>
    <row r="85" spans="1:5" x14ac:dyDescent="0.25">
      <c r="A85"/>
      <c r="E85"/>
    </row>
    <row r="86" spans="1:5" x14ac:dyDescent="0.25">
      <c r="A86"/>
      <c r="E86"/>
    </row>
    <row r="87" spans="1:5" x14ac:dyDescent="0.25">
      <c r="A87"/>
      <c r="E87"/>
    </row>
    <row r="88" spans="1:5" x14ac:dyDescent="0.25">
      <c r="A88"/>
      <c r="E88"/>
    </row>
    <row r="89" spans="1:5" x14ac:dyDescent="0.25">
      <c r="A89"/>
      <c r="E89"/>
    </row>
    <row r="90" spans="1:5" x14ac:dyDescent="0.25">
      <c r="A90"/>
      <c r="E90"/>
    </row>
    <row r="91" spans="1:5" x14ac:dyDescent="0.25">
      <c r="A91"/>
      <c r="E91"/>
    </row>
    <row r="92" spans="1:5" x14ac:dyDescent="0.25">
      <c r="A92"/>
      <c r="E92"/>
    </row>
    <row r="93" spans="1:5" x14ac:dyDescent="0.25">
      <c r="A93"/>
      <c r="E93"/>
    </row>
    <row r="94" spans="1:5" x14ac:dyDescent="0.25">
      <c r="A94"/>
      <c r="E94"/>
    </row>
    <row r="95" spans="1:5" x14ac:dyDescent="0.25">
      <c r="A95"/>
      <c r="E95"/>
    </row>
    <row r="96" spans="1:5" x14ac:dyDescent="0.25">
      <c r="A96"/>
      <c r="E96"/>
    </row>
    <row r="97" spans="1:5" x14ac:dyDescent="0.25">
      <c r="A97"/>
      <c r="E97"/>
    </row>
    <row r="98" spans="1:5" x14ac:dyDescent="0.25">
      <c r="A98"/>
      <c r="E98"/>
    </row>
    <row r="99" spans="1:5" x14ac:dyDescent="0.25">
      <c r="A99"/>
      <c r="E99"/>
    </row>
    <row r="100" spans="1:5" x14ac:dyDescent="0.25">
      <c r="A100"/>
      <c r="E100"/>
    </row>
    <row r="101" spans="1:5" x14ac:dyDescent="0.25">
      <c r="A101"/>
      <c r="E101"/>
    </row>
    <row r="102" spans="1:5" x14ac:dyDescent="0.25">
      <c r="A102"/>
      <c r="E102"/>
    </row>
    <row r="103" spans="1:5" x14ac:dyDescent="0.25">
      <c r="A103"/>
      <c r="E103"/>
    </row>
    <row r="104" spans="1:5" x14ac:dyDescent="0.25">
      <c r="A104"/>
      <c r="E104"/>
    </row>
    <row r="105" spans="1:5" x14ac:dyDescent="0.25">
      <c r="A105"/>
      <c r="E105"/>
    </row>
    <row r="106" spans="1:5" x14ac:dyDescent="0.25">
      <c r="A106"/>
      <c r="E106"/>
    </row>
    <row r="107" spans="1:5" x14ac:dyDescent="0.25">
      <c r="A107"/>
      <c r="E107"/>
    </row>
    <row r="108" spans="1:5" x14ac:dyDescent="0.25">
      <c r="A108"/>
      <c r="E108"/>
    </row>
    <row r="109" spans="1:5" x14ac:dyDescent="0.25">
      <c r="A109"/>
      <c r="E109"/>
    </row>
    <row r="110" spans="1:5" x14ac:dyDescent="0.25">
      <c r="A110"/>
      <c r="E110"/>
    </row>
    <row r="111" spans="1:5" x14ac:dyDescent="0.25">
      <c r="A111"/>
      <c r="E111"/>
    </row>
    <row r="112" spans="1:5" x14ac:dyDescent="0.25">
      <c r="A112"/>
      <c r="E112"/>
    </row>
    <row r="113" spans="1:5" x14ac:dyDescent="0.25">
      <c r="A113"/>
      <c r="E113"/>
    </row>
    <row r="114" spans="1:5" x14ac:dyDescent="0.25">
      <c r="A114"/>
      <c r="E114"/>
    </row>
    <row r="115" spans="1:5" x14ac:dyDescent="0.25">
      <c r="A115"/>
      <c r="E115"/>
    </row>
    <row r="116" spans="1:5" x14ac:dyDescent="0.25">
      <c r="A116"/>
      <c r="E116"/>
    </row>
    <row r="117" spans="1:5" x14ac:dyDescent="0.25">
      <c r="A117"/>
      <c r="E117"/>
    </row>
    <row r="118" spans="1:5" x14ac:dyDescent="0.25">
      <c r="A118"/>
      <c r="E118"/>
    </row>
    <row r="119" spans="1:5" x14ac:dyDescent="0.25">
      <c r="A119"/>
      <c r="E119"/>
    </row>
    <row r="120" spans="1:5" x14ac:dyDescent="0.25">
      <c r="A120"/>
      <c r="E120"/>
    </row>
    <row r="121" spans="1:5" x14ac:dyDescent="0.25">
      <c r="A121"/>
      <c r="E121"/>
    </row>
    <row r="122" spans="1:5" x14ac:dyDescent="0.25">
      <c r="A122"/>
      <c r="E122"/>
    </row>
    <row r="123" spans="1:5" x14ac:dyDescent="0.25">
      <c r="A123"/>
      <c r="E123"/>
    </row>
    <row r="124" spans="1:5" x14ac:dyDescent="0.25">
      <c r="A124"/>
      <c r="E124"/>
    </row>
    <row r="125" spans="1:5" x14ac:dyDescent="0.25">
      <c r="A125"/>
      <c r="E125"/>
    </row>
    <row r="126" spans="1:5" x14ac:dyDescent="0.25">
      <c r="A126"/>
      <c r="E126"/>
    </row>
    <row r="127" spans="1:5" x14ac:dyDescent="0.25">
      <c r="A127"/>
      <c r="E127"/>
    </row>
    <row r="128" spans="1:5" x14ac:dyDescent="0.25">
      <c r="A128"/>
      <c r="E128"/>
    </row>
    <row r="129" spans="1:5" x14ac:dyDescent="0.25">
      <c r="A129"/>
      <c r="E129"/>
    </row>
    <row r="130" spans="1:5" x14ac:dyDescent="0.25">
      <c r="A130"/>
      <c r="E130"/>
    </row>
    <row r="131" spans="1:5" x14ac:dyDescent="0.25">
      <c r="A131"/>
      <c r="E131"/>
    </row>
    <row r="132" spans="1:5" x14ac:dyDescent="0.25">
      <c r="A132"/>
      <c r="E132"/>
    </row>
    <row r="133" spans="1:5" x14ac:dyDescent="0.25">
      <c r="A133"/>
      <c r="E133"/>
    </row>
    <row r="134" spans="1:5" x14ac:dyDescent="0.25">
      <c r="A134"/>
      <c r="E134"/>
    </row>
    <row r="135" spans="1:5" x14ac:dyDescent="0.25">
      <c r="A135"/>
      <c r="E135"/>
    </row>
    <row r="136" spans="1:5" x14ac:dyDescent="0.25">
      <c r="A136"/>
      <c r="E136"/>
    </row>
    <row r="137" spans="1:5" x14ac:dyDescent="0.25">
      <c r="A137"/>
      <c r="E137"/>
    </row>
    <row r="138" spans="1:5" x14ac:dyDescent="0.25">
      <c r="A138"/>
      <c r="E138"/>
    </row>
    <row r="139" spans="1:5" x14ac:dyDescent="0.25">
      <c r="A139"/>
      <c r="E139"/>
    </row>
    <row r="140" spans="1:5" x14ac:dyDescent="0.25">
      <c r="A140"/>
      <c r="E140"/>
    </row>
    <row r="141" spans="1:5" x14ac:dyDescent="0.25">
      <c r="A141"/>
      <c r="E141"/>
    </row>
    <row r="142" spans="1:5" x14ac:dyDescent="0.25">
      <c r="A142"/>
      <c r="E142"/>
    </row>
    <row r="143" spans="1:5" x14ac:dyDescent="0.25">
      <c r="A143"/>
      <c r="E143"/>
    </row>
    <row r="144" spans="1:5" x14ac:dyDescent="0.25">
      <c r="A144"/>
      <c r="E144"/>
    </row>
    <row r="145" spans="1:5" x14ac:dyDescent="0.25">
      <c r="A145"/>
      <c r="E145"/>
    </row>
    <row r="146" spans="1:5" x14ac:dyDescent="0.25">
      <c r="A146"/>
      <c r="E146"/>
    </row>
    <row r="147" spans="1:5" x14ac:dyDescent="0.25">
      <c r="A147"/>
      <c r="E147"/>
    </row>
    <row r="148" spans="1:5" x14ac:dyDescent="0.25">
      <c r="A148"/>
      <c r="E148"/>
    </row>
    <row r="149" spans="1:5" x14ac:dyDescent="0.25">
      <c r="A149"/>
      <c r="E149"/>
    </row>
    <row r="150" spans="1:5" x14ac:dyDescent="0.25">
      <c r="A150"/>
      <c r="E150"/>
    </row>
    <row r="151" spans="1:5" x14ac:dyDescent="0.25">
      <c r="A151"/>
      <c r="E151"/>
    </row>
    <row r="152" spans="1:5" x14ac:dyDescent="0.25">
      <c r="A152"/>
      <c r="E152"/>
    </row>
    <row r="153" spans="1:5" x14ac:dyDescent="0.25">
      <c r="A153"/>
      <c r="E153"/>
    </row>
    <row r="154" spans="1:5" x14ac:dyDescent="0.25">
      <c r="A154"/>
      <c r="E154"/>
    </row>
    <row r="155" spans="1:5" x14ac:dyDescent="0.25">
      <c r="A155"/>
      <c r="E155"/>
    </row>
    <row r="156" spans="1:5" x14ac:dyDescent="0.25">
      <c r="A156"/>
      <c r="E156"/>
    </row>
    <row r="157" spans="1:5" x14ac:dyDescent="0.25">
      <c r="A157"/>
      <c r="E157"/>
    </row>
    <row r="158" spans="1:5" x14ac:dyDescent="0.25">
      <c r="A158"/>
      <c r="E158"/>
    </row>
    <row r="159" spans="1:5" x14ac:dyDescent="0.25">
      <c r="A159"/>
      <c r="E159"/>
    </row>
  </sheetData>
  <sheetProtection sheet="1" objects="1" scenarios="1" formatColumns="0" insertColumns="0" insertRows="0" deleteColumns="0" deleteRows="0" selectLockedCells="1" sort="0" autoFilter="0" selectUnlockedCells="1"/>
  <autoFilter ref="A1:G1"/>
  <pageMargins left="0.7" right="0.7" top="0.75" bottom="0.75" header="0.3" footer="0.3"/>
  <pageSetup paperSize="1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9.5703125" bestFit="1" customWidth="1"/>
    <col min="2" max="2" width="9.7109375" customWidth="1"/>
    <col min="3" max="3" width="15.7109375" style="5" customWidth="1"/>
    <col min="4" max="4" width="13.42578125" style="1" bestFit="1" customWidth="1"/>
    <col min="5" max="5" width="17.7109375" style="1" customWidth="1"/>
    <col min="6" max="6" width="17.140625" style="1" customWidth="1"/>
    <col min="7" max="7" width="51.28515625" style="1" customWidth="1"/>
    <col min="8" max="8" width="17" style="1" customWidth="1"/>
    <col min="9" max="16384" width="9.140625" style="5"/>
  </cols>
  <sheetData>
    <row r="1" spans="1:8" ht="21" customHeight="1" thickBot="1" x14ac:dyDescent="0.3">
      <c r="A1" s="28"/>
      <c r="B1" s="28"/>
      <c r="C1" s="28"/>
      <c r="D1" s="28"/>
      <c r="E1" s="28"/>
      <c r="F1" s="21"/>
      <c r="G1" s="21"/>
      <c r="H1" s="1" t="b">
        <v>0</v>
      </c>
    </row>
    <row r="2" spans="1:8" ht="15.75" thickBot="1" x14ac:dyDescent="0.3">
      <c r="A2" s="18" t="s">
        <v>203</v>
      </c>
      <c r="B2" s="19" t="s">
        <v>0</v>
      </c>
      <c r="C2" s="17" t="s">
        <v>202</v>
      </c>
      <c r="D2" s="15" t="s">
        <v>974</v>
      </c>
      <c r="E2" s="15" t="s">
        <v>198</v>
      </c>
      <c r="F2" s="15" t="s">
        <v>200</v>
      </c>
      <c r="G2" s="16"/>
      <c r="H2" s="1" t="s">
        <v>205</v>
      </c>
    </row>
    <row r="3" spans="1:8" ht="15.75" thickTop="1" x14ac:dyDescent="0.25"/>
  </sheetData>
  <sheetProtection sheet="1" objects="1" scenarios="1" formatColumns="0" insertColumns="0" insertRows="0" deleteColumns="0" deleteRows="0" selectLockedCells="1"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btnExport">
          <controlPr defaultSize="0" print="0" autoLine="0" r:id="rId5">
            <anchor moveWithCells="1">
              <from>
                <xdr:col>7</xdr:col>
                <xdr:colOff>0</xdr:colOff>
                <xdr:row>0</xdr:row>
                <xdr:rowOff>9525</xdr:rowOff>
              </from>
              <to>
                <xdr:col>8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5124" r:id="rId4" name="btnExport"/>
      </mc:Fallback>
    </mc:AlternateContent>
    <mc:AlternateContent xmlns:mc="http://schemas.openxmlformats.org/markup-compatibility/2006">
      <mc:Choice Requires="x14">
        <control shapeId="5123" r:id="rId6" name="txtKerf">
          <controlPr defaultSize="0" autoLine="0" r:id="rId7">
            <anchor moveWithCells="1">
              <from>
                <xdr:col>7</xdr:col>
                <xdr:colOff>523875</xdr:colOff>
                <xdr:row>0</xdr:row>
                <xdr:rowOff>247650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6" name="txtKerf"/>
      </mc:Fallback>
    </mc:AlternateContent>
    <mc:AlternateContent xmlns:mc="http://schemas.openxmlformats.org/markup-compatibility/2006">
      <mc:Choice Requires="x14">
        <control shapeId="5125" r:id="rId8" name="Label1">
          <controlPr defaultSize="0" print="0" autoLine="0" r:id="rId9">
            <anchor moveWithCells="1">
              <from>
                <xdr:col>0</xdr:col>
                <xdr:colOff>0</xdr:colOff>
                <xdr:row>0</xdr:row>
                <xdr:rowOff>38100</xdr:rowOff>
              </from>
              <to>
                <xdr:col>6</xdr:col>
                <xdr:colOff>2562225</xdr:colOff>
                <xdr:row>0</xdr:row>
                <xdr:rowOff>219075</xdr:rowOff>
              </to>
            </anchor>
          </controlPr>
        </control>
      </mc:Choice>
      <mc:Fallback>
        <control shapeId="5125" r:id="rId8" name="Label1"/>
      </mc:Fallback>
    </mc:AlternateContent>
    <mc:AlternateContent xmlns:mc="http://schemas.openxmlformats.org/markup-compatibility/2006">
      <mc:Choice Requires="x14">
        <control shapeId="5122" r:id="rId10" name="Button 2">
          <controlPr defaultSize="0" print="0" autoFill="0" autoPict="0" macro="[0]!Sheet6.AddNewLength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2</xdr:col>
                <xdr:colOff>180975</xdr:colOff>
                <xdr:row>3</xdr:row>
                <xdr:rowOff>38100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B1:F1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.28515625" style="5" customWidth="1"/>
    <col min="2" max="2" width="15.7109375" style="2" customWidth="1"/>
    <col min="3" max="3" width="17.7109375" style="2" customWidth="1"/>
    <col min="4" max="4" width="12.7109375" style="2" customWidth="1"/>
    <col min="5" max="5" width="27.7109375" style="2" customWidth="1"/>
    <col min="6" max="6" width="5.7109375" style="2" customWidth="1"/>
    <col min="7" max="16384" width="9.140625" style="5"/>
  </cols>
  <sheetData>
    <row r="1" spans="2:6" ht="15" customHeight="1" x14ac:dyDescent="0.25">
      <c r="B1" s="48" t="s">
        <v>976</v>
      </c>
      <c r="C1" s="48"/>
      <c r="D1" s="48"/>
      <c r="E1" s="48"/>
      <c r="F1" s="48"/>
    </row>
  </sheetData>
  <sheetProtection sheet="1" objects="1" scenarios="1" formatColumns="0" insertColumns="0" insertRows="0" deleteColumns="0" deleteRows="0" selectLockedCells="1" sort="0" autoFilter="0"/>
  <mergeCells count="1">
    <mergeCell ref="B1:F1"/>
  </mergeCells>
  <pageMargins left="0.70866141732283472" right="0.70866141732283472" top="0.74803149606299213" bottom="0.74803149606299213" header="0.31496062992125984" footer="0.31496062992125984"/>
  <pageSetup orientation="portrait" r:id="rId1"/>
  <headerFooter>
    <oddFooter>&amp;L&amp;Z&amp;F&amp;RPage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print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6</xdr:col>
                <xdr:colOff>400050</xdr:colOff>
                <xdr:row>1</xdr:row>
                <xdr:rowOff>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F1"/>
  <sheetViews>
    <sheetView workbookViewId="0">
      <selection activeCell="B2" sqref="B2"/>
    </sheetView>
  </sheetViews>
  <sheetFormatPr defaultRowHeight="15" x14ac:dyDescent="0.25"/>
  <cols>
    <col min="1" max="1" width="2" customWidth="1"/>
    <col min="2" max="2" width="15.7109375" style="45" customWidth="1"/>
    <col min="3" max="3" width="17.7109375" customWidth="1"/>
    <col min="4" max="4" width="20.7109375" customWidth="1"/>
    <col min="5" max="5" width="15.7109375" customWidth="1"/>
    <col min="6" max="6" width="13.28515625" style="44" customWidth="1"/>
  </cols>
  <sheetData>
    <row r="1" spans="2:4" x14ac:dyDescent="0.25">
      <c r="B1" s="49" t="s">
        <v>975</v>
      </c>
      <c r="C1" s="49"/>
      <c r="D1" s="49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Label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4</xdr:col>
                <xdr:colOff>847725</xdr:colOff>
                <xdr:row>1</xdr:row>
                <xdr:rowOff>9525</xdr:rowOff>
              </to>
            </anchor>
          </controlPr>
        </control>
      </mc:Choice>
      <mc:Fallback>
        <control shapeId="10242" r:id="rId4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0"/>
  <sheetViews>
    <sheetView topLeftCell="A160" workbookViewId="0">
      <selection activeCell="I172" sqref="I172"/>
    </sheetView>
  </sheetViews>
  <sheetFormatPr defaultRowHeight="15" x14ac:dyDescent="0.25"/>
  <cols>
    <col min="1" max="8" width="9.140625" style="5"/>
    <col min="9" max="9" width="38.28515625" style="5" bestFit="1" customWidth="1"/>
    <col min="10" max="16384" width="9.140625" style="5"/>
  </cols>
  <sheetData>
    <row r="1" spans="1:12" x14ac:dyDescent="0.25">
      <c r="A1" s="5" t="s">
        <v>8</v>
      </c>
      <c r="B1" s="30">
        <f>--ISNUMBER(IFERROR(SEARCH(Quote!$G$1,A1,1),""))</f>
        <v>1</v>
      </c>
      <c r="C1" s="30">
        <f>IF(B1=1,COUNTIF($B$1:B1,1),"")</f>
        <v>1</v>
      </c>
      <c r="D1" s="30" t="str">
        <f>IFERROR(INDEX($A$1:$A$10,MATCH(ROWS($C$1:C1),$C$1:$C$10,0)),"")</f>
        <v>Box</v>
      </c>
      <c r="E1" s="5" t="s">
        <v>12</v>
      </c>
      <c r="F1" s="30">
        <f>--ISNUMBER(IFERROR(SEARCH(Quote!$G$1,E1,1),""))</f>
        <v>1</v>
      </c>
      <c r="G1" s="30">
        <f>IF(F1=1,COUNTIF($F$1:F1,1),"")</f>
        <v>1</v>
      </c>
      <c r="H1" s="30" t="str">
        <f>IFERROR(INDEX($E$1:$E$15,MATCH(ROWS($G$1:G1),$G$1:$G$15,0)),"")</f>
        <v>1 Day</v>
      </c>
      <c r="I1" s="5" t="s">
        <v>10</v>
      </c>
      <c r="J1" s="30">
        <f>--ISNUMBER(IFERROR(SEARCH(Quote!$G$1,I1,1),""))</f>
        <v>1</v>
      </c>
      <c r="K1" s="30">
        <f>IF(J1=1,COUNTIF($J$1:J1,1),"")</f>
        <v>1</v>
      </c>
      <c r="L1" s="30" t="str">
        <f>IFERROR(INDEX($I$1:$I$500,MATCH(ROWS($K$1:K1),$K$1:$K$500,0)),"")</f>
        <v>A1 Trailer &amp; Truck Repair</v>
      </c>
    </row>
    <row r="2" spans="1:12" x14ac:dyDescent="0.25">
      <c r="A2" s="5" t="s">
        <v>11</v>
      </c>
      <c r="B2" s="30">
        <f>--ISNUMBER(IFERROR(SEARCH(Quote!$G$1,A2,1),""))</f>
        <v>1</v>
      </c>
      <c r="C2" s="30">
        <f>IF(B2=1,COUNTIF($B$1:B2,1),"")</f>
        <v>2</v>
      </c>
      <c r="D2" s="30" t="str">
        <f>IFERROR(INDEX($A$1:$A$10,MATCH(ROWS($C$1:C2),$C$1:$C$10,0)),"")</f>
        <v>ea.</v>
      </c>
      <c r="E2" s="5" t="s">
        <v>22</v>
      </c>
      <c r="F2" s="30">
        <f>--ISNUMBER(IFERROR(SEARCH(Quote!$G$1,E2,1),""))</f>
        <v>1</v>
      </c>
      <c r="G2" s="30">
        <f>IF(F2=1,COUNTIF($F$1:F2,1),"")</f>
        <v>2</v>
      </c>
      <c r="H2" s="30" t="str">
        <f>IFERROR(INDEX($E$1:$E$15,MATCH(ROWS($G$1:G2),$G$1:$G$15,0)),"")</f>
        <v>1 Week</v>
      </c>
      <c r="I2" s="5" t="s">
        <v>13</v>
      </c>
      <c r="J2" s="30">
        <f>--ISNUMBER(IFERROR(SEARCH(Quote!$G$1,I2,1),""))</f>
        <v>1</v>
      </c>
      <c r="K2" s="30">
        <f>IF(J2=1,COUNTIF($J$1:J2,1),"")</f>
        <v>2</v>
      </c>
      <c r="L2" s="30" t="str">
        <f>IFERROR(INDEX($I$1:$I$500,MATCH(ROWS($K$1:K2),$K$1:$K$500,0)),"")</f>
        <v>ABF Freight</v>
      </c>
    </row>
    <row r="3" spans="1:12" x14ac:dyDescent="0.25">
      <c r="A3" s="5" t="s">
        <v>21</v>
      </c>
      <c r="B3" s="30">
        <f>--ISNUMBER(IFERROR(SEARCH(Quote!$G$1,A3,1),""))</f>
        <v>1</v>
      </c>
      <c r="C3" s="30">
        <f>IF(B3=1,COUNTIF($B$1:B3,1),"")</f>
        <v>3</v>
      </c>
      <c r="D3" s="30" t="str">
        <f>IFERROR(INDEX($A$1:$A$10,MATCH(ROWS($C$1:C3),$C$1:$C$10,0)),"")</f>
        <v>Ft.</v>
      </c>
      <c r="E3" s="5" t="s">
        <v>38</v>
      </c>
      <c r="F3" s="30">
        <f>--ISNUMBER(IFERROR(SEARCH(Quote!$G$1,E3,1),""))</f>
        <v>1</v>
      </c>
      <c r="G3" s="30">
        <f>IF(F3=1,COUNTIF($F$1:F3,1),"")</f>
        <v>3</v>
      </c>
      <c r="H3" s="30" t="str">
        <f>IFERROR(INDEX($E$1:$E$15,MATCH(ROWS($G$1:G3),$G$1:$G$15,0)),"")</f>
        <v>10 Weeks</v>
      </c>
      <c r="I3" s="5" t="s">
        <v>188</v>
      </c>
      <c r="J3" s="30">
        <f>--ISNUMBER(IFERROR(SEARCH(Quote!$G$1,I3,1),""))</f>
        <v>1</v>
      </c>
      <c r="K3" s="30">
        <f>IF(J3=1,COUNTIF($J$1:J3,1),"")</f>
        <v>3</v>
      </c>
      <c r="L3" s="30" t="str">
        <f>IFERROR(INDEX($I$1:$I$500,MATCH(ROWS($K$1:K3),$K$1:$K$500,0)),"")</f>
        <v>Acklands</v>
      </c>
    </row>
    <row r="4" spans="1:12" x14ac:dyDescent="0.25">
      <c r="A4" s="5" t="s">
        <v>18</v>
      </c>
      <c r="B4" s="30">
        <f>--ISNUMBER(IFERROR(SEARCH(Quote!$G$1,A4,1),""))</f>
        <v>1</v>
      </c>
      <c r="C4" s="30">
        <f>IF(B4=1,COUNTIF($B$1:B4,1),"")</f>
        <v>4</v>
      </c>
      <c r="D4" s="30" t="str">
        <f>IFERROR(INDEX($A$1:$A$10,MATCH(ROWS($C$1:C4),$C$1:$C$10,0)),"")</f>
        <v>Lgth.</v>
      </c>
      <c r="E4" s="5" t="s">
        <v>40</v>
      </c>
      <c r="F4" s="30">
        <f>--ISNUMBER(IFERROR(SEARCH(Quote!$G$1,E4,1),""))</f>
        <v>1</v>
      </c>
      <c r="G4" s="30">
        <f>IF(F4=1,COUNTIF($F$1:F4,1),"")</f>
        <v>4</v>
      </c>
      <c r="H4" s="30" t="str">
        <f>IFERROR(INDEX($E$1:$E$15,MATCH(ROWS($G$1:G4),$G$1:$G$15,0)),"")</f>
        <v>12 Weeks</v>
      </c>
      <c r="I4" s="5" t="s">
        <v>20</v>
      </c>
      <c r="J4" s="30">
        <f>--ISNUMBER(IFERROR(SEARCH(Quote!$G$1,I4,1),""))</f>
        <v>1</v>
      </c>
      <c r="K4" s="30">
        <f>IF(J4=1,COUNTIF($J$1:J4,1),"")</f>
        <v>4</v>
      </c>
      <c r="L4" s="30" t="str">
        <f>IFERROR(INDEX($I$1:$I$500,MATCH(ROWS($K$1:K4),$K$1:$K$500,0)),"")</f>
        <v>Acoustic Solutions</v>
      </c>
    </row>
    <row r="5" spans="1:12" x14ac:dyDescent="0.25">
      <c r="A5" s="5" t="s">
        <v>211</v>
      </c>
      <c r="B5" s="30">
        <f>--ISNUMBER(IFERROR(SEARCH(Quote!$G$1,A5,1),""))</f>
        <v>1</v>
      </c>
      <c r="C5" s="30">
        <f>IF(B5=1,COUNTIF($B$1:B5,1),"")</f>
        <v>5</v>
      </c>
      <c r="D5" s="30" t="str">
        <f>IFERROR(INDEX($A$1:$A$10,MATCH(ROWS($C$1:C5),$C$1:$C$10,0)),"")</f>
        <v>NA</v>
      </c>
      <c r="E5" s="5" t="s">
        <v>15</v>
      </c>
      <c r="F5" s="30">
        <f>--ISNUMBER(IFERROR(SEARCH(Quote!$G$1,E5,1),""))</f>
        <v>1</v>
      </c>
      <c r="G5" s="30">
        <f>IF(F5=1,COUNTIF($F$1:F5,1),"")</f>
        <v>5</v>
      </c>
      <c r="H5" s="30" t="str">
        <f>IFERROR(INDEX($E$1:$E$15,MATCH(ROWS($G$1:G5),$G$1:$G$15,0)),"")</f>
        <v>2 Days</v>
      </c>
      <c r="I5" s="5" t="s">
        <v>23</v>
      </c>
      <c r="J5" s="30">
        <f>--ISNUMBER(IFERROR(SEARCH(Quote!$G$1,I5,1),""))</f>
        <v>1</v>
      </c>
      <c r="K5" s="30">
        <f>IF(J5=1,COUNTIF($J$1:J5,1),"")</f>
        <v>5</v>
      </c>
      <c r="L5" s="30" t="str">
        <f>IFERROR(INDEX($I$1:$I$500,MATCH(ROWS($K$1:K5),$K$1:$K$500,0)),"")</f>
        <v>Action Office Interiors</v>
      </c>
    </row>
    <row r="6" spans="1:12" x14ac:dyDescent="0.25">
      <c r="A6" s="5" t="s">
        <v>14</v>
      </c>
      <c r="B6" s="30">
        <f>--ISNUMBER(IFERROR(SEARCH(Quote!$G$1,A6,1),""))</f>
        <v>1</v>
      </c>
      <c r="C6" s="30">
        <f>IF(B6=1,COUNTIF($B$1:B6,1),"")</f>
        <v>6</v>
      </c>
      <c r="D6" s="30" t="str">
        <f>IFERROR(INDEX($A$1:$A$10,MATCH(ROWS($C$1:C6),$C$1:$C$10,0)),"")</f>
        <v>Pkg.</v>
      </c>
      <c r="E6" s="5" t="s">
        <v>24</v>
      </c>
      <c r="F6" s="30">
        <f>--ISNUMBER(IFERROR(SEARCH(Quote!$G$1,E6,1),""))</f>
        <v>1</v>
      </c>
      <c r="G6" s="30">
        <f>IF(F6=1,COUNTIF($F$1:F6,1),"")</f>
        <v>6</v>
      </c>
      <c r="H6" s="30" t="str">
        <f>IFERROR(INDEX($E$1:$E$15,MATCH(ROWS($G$1:G6),$G$1:$G$15,0)),"")</f>
        <v>2 Weeks</v>
      </c>
      <c r="I6" s="5" t="s">
        <v>25</v>
      </c>
      <c r="J6" s="30">
        <f>--ISNUMBER(IFERROR(SEARCH(Quote!$G$1,I6,1),""))</f>
        <v>1</v>
      </c>
      <c r="K6" s="30">
        <f>IF(J6=1,COUNTIF($J$1:J6,1),"")</f>
        <v>6</v>
      </c>
      <c r="L6" s="30" t="str">
        <f>IFERROR(INDEX($I$1:$I$500,MATCH(ROWS($K$1:K6),$K$1:$K$500,0)),"")</f>
        <v>Aero Glass &amp; Mirror</v>
      </c>
    </row>
    <row r="7" spans="1:12" x14ac:dyDescent="0.25">
      <c r="A7" s="5" t="s">
        <v>16</v>
      </c>
      <c r="B7" s="30">
        <f>--ISNUMBER(IFERROR(SEARCH(Quote!$G$1,A7,1),""))</f>
        <v>1</v>
      </c>
      <c r="C7" s="30">
        <f>IF(B7=1,COUNTIF($B$1:B7,1),"")</f>
        <v>7</v>
      </c>
      <c r="D7" s="30" t="str">
        <f>IFERROR(INDEX($A$1:$A$10,MATCH(ROWS($C$1:C7),$C$1:$C$10,0)),"")</f>
        <v>Sq. Ft.</v>
      </c>
      <c r="E7" s="5" t="s">
        <v>17</v>
      </c>
      <c r="F7" s="30">
        <f>--ISNUMBER(IFERROR(SEARCH(Quote!$G$1,E7,1),""))</f>
        <v>1</v>
      </c>
      <c r="G7" s="30">
        <f>IF(F7=1,COUNTIF($F$1:F7,1),"")</f>
        <v>7</v>
      </c>
      <c r="H7" s="30" t="str">
        <f>IFERROR(INDEX($E$1:$E$15,MATCH(ROWS($G$1:G7),$G$1:$G$15,0)),"")</f>
        <v>3 Days</v>
      </c>
      <c r="I7" s="5" t="s">
        <v>27</v>
      </c>
      <c r="J7" s="30">
        <f>--ISNUMBER(IFERROR(SEARCH(Quote!$G$1,I7,1),""))</f>
        <v>1</v>
      </c>
      <c r="K7" s="30">
        <f>IF(J7=1,COUNTIF($J$1:J7,1),"")</f>
        <v>7</v>
      </c>
      <c r="L7" s="30" t="str">
        <f>IFERROR(INDEX($I$1:$I$500,MATCH(ROWS($K$1:K7),$K$1:$K$500,0)),"")</f>
        <v>Air Liquide</v>
      </c>
    </row>
    <row r="8" spans="1:12" x14ac:dyDescent="0.25">
      <c r="B8" s="30">
        <f>--ISNUMBER(IFERROR(SEARCH(Quote!$G$1,A8,1),""))</f>
        <v>0</v>
      </c>
      <c r="C8" s="30" t="str">
        <f>IF(B8=1,COUNTIF($B$1:B8,1),"")</f>
        <v/>
      </c>
      <c r="D8" s="30" t="str">
        <f>IFERROR(INDEX($A$1:$A$10,MATCH(ROWS($C$1:C8),$C$1:$C$10,0)),"")</f>
        <v/>
      </c>
      <c r="E8" s="5" t="s">
        <v>26</v>
      </c>
      <c r="F8" s="30">
        <f>--ISNUMBER(IFERROR(SEARCH(Quote!$G$1,E8,1),""))</f>
        <v>1</v>
      </c>
      <c r="G8" s="30">
        <f>IF(F8=1,COUNTIF($F$1:F8,1),"")</f>
        <v>8</v>
      </c>
      <c r="H8" s="30" t="str">
        <f>IFERROR(INDEX($E$1:$E$15,MATCH(ROWS($G$1:G8),$G$1:$G$15,0)),"")</f>
        <v>3 Weeks</v>
      </c>
      <c r="I8" s="5" t="s">
        <v>29</v>
      </c>
      <c r="J8" s="30">
        <f>--ISNUMBER(IFERROR(SEARCH(Quote!$G$1,I8,1),""))</f>
        <v>1</v>
      </c>
      <c r="K8" s="30">
        <f>IF(J8=1,COUNTIF($J$1:J8,1),"")</f>
        <v>8</v>
      </c>
      <c r="L8" s="30" t="str">
        <f>IFERROR(INDEX($I$1:$I$500,MATCH(ROWS($K$1:K8),$K$1:$K$500,0)),"")</f>
        <v>AMS Industries Ltd.</v>
      </c>
    </row>
    <row r="9" spans="1:12" x14ac:dyDescent="0.25">
      <c r="B9" s="30">
        <f>--ISNUMBER(IFERROR(SEARCH(Quote!$G$1,A9,1),""))</f>
        <v>0</v>
      </c>
      <c r="C9" s="30" t="str">
        <f>IF(B9=1,COUNTIF($B$1:B9,1),"")</f>
        <v/>
      </c>
      <c r="D9" s="30" t="str">
        <f>IFERROR(INDEX($A$1:$A$10,MATCH(ROWS($C$1:C9),$C$1:$C$10,0)),"")</f>
        <v/>
      </c>
      <c r="E9" s="5" t="s">
        <v>19</v>
      </c>
      <c r="F9" s="30">
        <f>--ISNUMBER(IFERROR(SEARCH(Quote!$G$1,E9,1),""))</f>
        <v>1</v>
      </c>
      <c r="G9" s="30">
        <f>IF(F9=1,COUNTIF($F$1:F9,1),"")</f>
        <v>9</v>
      </c>
      <c r="H9" s="30" t="str">
        <f>IFERROR(INDEX($E$1:$E$15,MATCH(ROWS($G$1:G9),$G$1:$G$15,0)),"")</f>
        <v>4 Days</v>
      </c>
      <c r="I9" s="5" t="s">
        <v>31</v>
      </c>
      <c r="J9" s="30">
        <f>--ISNUMBER(IFERROR(SEARCH(Quote!$G$1,I9,1),""))</f>
        <v>1</v>
      </c>
      <c r="K9" s="30">
        <f>IF(J9=1,COUNTIF($J$1:J9,1),"")</f>
        <v>9</v>
      </c>
      <c r="L9" s="30" t="str">
        <f>IFERROR(INDEX($I$1:$I$500,MATCH(ROWS($K$1:K9),$K$1:$K$500,0)),"")</f>
        <v>APCO Industries Company Ltd.</v>
      </c>
    </row>
    <row r="10" spans="1:12" x14ac:dyDescent="0.25">
      <c r="B10" s="30">
        <f>--ISNUMBER(IFERROR(SEARCH(Quote!$G$1,A10,1),""))</f>
        <v>0</v>
      </c>
      <c r="C10" s="30" t="str">
        <f>IF(B10=1,COUNTIF($B$1:B10,1),"")</f>
        <v/>
      </c>
      <c r="D10" s="30" t="str">
        <f>IFERROR(INDEX($A$1:$A$10,MATCH(ROWS($C$1:C10),$C$1:$C$10,0)),"")</f>
        <v/>
      </c>
      <c r="E10" s="5" t="s">
        <v>28</v>
      </c>
      <c r="F10" s="30">
        <f>--ISNUMBER(IFERROR(SEARCH(Quote!$G$1,E10,1),""))</f>
        <v>1</v>
      </c>
      <c r="G10" s="30">
        <f>IF(F10=1,COUNTIF($F$1:F10,1),"")</f>
        <v>10</v>
      </c>
      <c r="H10" s="30" t="str">
        <f>IFERROR(INDEX($E$1:$E$15,MATCH(ROWS($G$1:G10),$G$1:$G$15,0)),"")</f>
        <v>4 Weeks</v>
      </c>
      <c r="I10" s="5" t="s">
        <v>33</v>
      </c>
      <c r="J10" s="30">
        <f>--ISNUMBER(IFERROR(SEARCH(Quote!$G$1,I10,1),""))</f>
        <v>1</v>
      </c>
      <c r="K10" s="30">
        <f>IF(J10=1,COUNTIF($J$1:J10,1),"")</f>
        <v>10</v>
      </c>
      <c r="L10" s="30" t="str">
        <f>IFERROR(INDEX($I$1:$I$500,MATCH(ROWS($K$1:K10),$K$1:$K$500,0)),"")</f>
        <v>Apex</v>
      </c>
    </row>
    <row r="11" spans="1:12" x14ac:dyDescent="0.25">
      <c r="B11" s="30">
        <f>--ISNUMBER(IFERROR(SEARCH(Quote!$G$1,A11,1),""))</f>
        <v>0</v>
      </c>
      <c r="C11" s="30" t="str">
        <f>IF(B11=1,COUNTIF($B$1:B11,1),"")</f>
        <v/>
      </c>
      <c r="D11" s="30" t="str">
        <f>IFERROR(INDEX($A$1:$A$10,MATCH(ROWS($C$1:C11),$C$1:$C$10,0)),"")</f>
        <v/>
      </c>
      <c r="E11" s="5" t="s">
        <v>30</v>
      </c>
      <c r="F11" s="30">
        <f>--ISNUMBER(IFERROR(SEARCH(Quote!$G$1,E11,1),""))</f>
        <v>1</v>
      </c>
      <c r="G11" s="30">
        <f>IF(F11=1,COUNTIF($F$1:F11,1),"")</f>
        <v>11</v>
      </c>
      <c r="H11" s="30" t="str">
        <f>IFERROR(INDEX($E$1:$E$15,MATCH(ROWS($G$1:G11),$G$1:$G$15,0)),"")</f>
        <v>5 Weeks</v>
      </c>
      <c r="I11" s="5" t="s">
        <v>35</v>
      </c>
      <c r="J11" s="30">
        <f>--ISNUMBER(IFERROR(SEARCH(Quote!$G$1,I11,1),""))</f>
        <v>1</v>
      </c>
      <c r="K11" s="30">
        <f>IF(J11=1,COUNTIF($J$1:J11,1),"")</f>
        <v>11</v>
      </c>
      <c r="L11" s="30" t="str">
        <f>IFERROR(INDEX($I$1:$I$500,MATCH(ROWS($K$1:K11),$K$1:$K$500,0)),"")</f>
        <v>Applied Industrial Technologies</v>
      </c>
    </row>
    <row r="12" spans="1:12" x14ac:dyDescent="0.25">
      <c r="B12" s="30">
        <f>--ISNUMBER(IFERROR(SEARCH(Quote!$G$1,A12,1),""))</f>
        <v>0</v>
      </c>
      <c r="C12" s="30" t="str">
        <f>IF(B12=1,COUNTIF($B$1:B12,1),"")</f>
        <v/>
      </c>
      <c r="D12" s="30" t="str">
        <f>IFERROR(INDEX($A$1:$A$10,MATCH(ROWS($C$1:C12),$C$1:$C$10,0)),"")</f>
        <v/>
      </c>
      <c r="E12" s="5" t="s">
        <v>32</v>
      </c>
      <c r="F12" s="30">
        <f>--ISNUMBER(IFERROR(SEARCH(Quote!$G$1,E12,1),""))</f>
        <v>1</v>
      </c>
      <c r="G12" s="30">
        <f>IF(F12=1,COUNTIF($F$1:F12,1),"")</f>
        <v>12</v>
      </c>
      <c r="H12" s="30" t="str">
        <f>IFERROR(INDEX($E$1:$E$15,MATCH(ROWS($G$1:G12),$G$1:$G$15,0)),"")</f>
        <v>6 Weeks</v>
      </c>
      <c r="I12" s="5" t="s">
        <v>37</v>
      </c>
      <c r="J12" s="30">
        <f>--ISNUMBER(IFERROR(SEARCH(Quote!$G$1,I12,1),""))</f>
        <v>1</v>
      </c>
      <c r="K12" s="30">
        <f>IF(J12=1,COUNTIF($J$1:J12,1),"")</f>
        <v>12</v>
      </c>
      <c r="L12" s="30" t="str">
        <f>IFERROR(INDEX($I$1:$I$500,MATCH(ROWS($K$1:K12),$K$1:$K$500,0)),"")</f>
        <v>AR Williams</v>
      </c>
    </row>
    <row r="13" spans="1:12" x14ac:dyDescent="0.25">
      <c r="B13" s="30">
        <f>--ISNUMBER(IFERROR(SEARCH(Quote!$G$1,A13,1),""))</f>
        <v>0</v>
      </c>
      <c r="C13" s="30" t="str">
        <f>IF(B13=1,COUNTIF($B$1:B13,1),"")</f>
        <v/>
      </c>
      <c r="D13" s="30" t="str">
        <f>IFERROR(INDEX($A$1:$A$10,MATCH(ROWS($C$1:C13),$C$1:$C$10,0)),"")</f>
        <v/>
      </c>
      <c r="E13" s="5" t="s">
        <v>34</v>
      </c>
      <c r="F13" s="30">
        <f>--ISNUMBER(IFERROR(SEARCH(Quote!$G$1,E13,1),""))</f>
        <v>1</v>
      </c>
      <c r="G13" s="30">
        <f>IF(F13=1,COUNTIF($F$1:F13,1),"")</f>
        <v>13</v>
      </c>
      <c r="H13" s="30" t="str">
        <f>IFERROR(INDEX($E$1:$E$15,MATCH(ROWS($G$1:G13),$G$1:$G$15,0)),"")</f>
        <v>7 Weeks</v>
      </c>
      <c r="I13" s="5" t="s">
        <v>39</v>
      </c>
      <c r="J13" s="30">
        <f>--ISNUMBER(IFERROR(SEARCH(Quote!$G$1,I13,1),""))</f>
        <v>1</v>
      </c>
      <c r="K13" s="30">
        <f>IF(J13=1,COUNTIF($J$1:J13,1),"")</f>
        <v>13</v>
      </c>
      <c r="L13" s="30" t="str">
        <f>IFERROR(INDEX($I$1:$I$500,MATCH(ROWS($K$1:K13),$K$1:$K$500,0)),"")</f>
        <v>ASA Alloys</v>
      </c>
    </row>
    <row r="14" spans="1:12" x14ac:dyDescent="0.25">
      <c r="B14" s="30">
        <f>--ISNUMBER(IFERROR(SEARCH(Quote!$G$1,A14,1),""))</f>
        <v>0</v>
      </c>
      <c r="C14" s="30" t="str">
        <f>IF(B14=1,COUNTIF($B$1:B14,1),"")</f>
        <v/>
      </c>
      <c r="D14" s="30" t="str">
        <f>IFERROR(INDEX($A$1:$A$10,MATCH(ROWS($C$1:C14),$C$1:$C$10,0)),"")</f>
        <v/>
      </c>
      <c r="E14" s="5" t="s">
        <v>36</v>
      </c>
      <c r="F14" s="30">
        <f>--ISNUMBER(IFERROR(SEARCH(Quote!$G$1,E14,1),""))</f>
        <v>1</v>
      </c>
      <c r="G14" s="30">
        <f>IF(F14=1,COUNTIF($F$1:F14,1),"")</f>
        <v>14</v>
      </c>
      <c r="H14" s="30" t="str">
        <f>IFERROR(INDEX($E$1:$E$15,MATCH(ROWS($G$1:G14),$G$1:$G$15,0)),"")</f>
        <v>8 Weeks</v>
      </c>
      <c r="I14" s="5" t="s">
        <v>41</v>
      </c>
      <c r="J14" s="30">
        <f>--ISNUMBER(IFERROR(SEARCH(Quote!$G$1,I14,1),""))</f>
        <v>1</v>
      </c>
      <c r="K14" s="30">
        <f>IF(J14=1,COUNTIF($J$1:J14,1),"")</f>
        <v>14</v>
      </c>
      <c r="L14" s="30" t="str">
        <f>IFERROR(INDEX($I$1:$I$500,MATCH(ROWS($K$1:K14),$K$1:$K$500,0)),"")</f>
        <v>Associated Spring</v>
      </c>
    </row>
    <row r="15" spans="1:12" x14ac:dyDescent="0.25">
      <c r="B15" s="30">
        <f>--ISNUMBER(IFERROR(SEARCH(Quote!$G$1,A15,1),""))</f>
        <v>0</v>
      </c>
      <c r="C15" s="30" t="str">
        <f>IF(B15=1,COUNTIF($B$1:B15,1),"")</f>
        <v/>
      </c>
      <c r="D15" s="30" t="str">
        <f>IFERROR(INDEX($A$1:$A$10,MATCH(ROWS($C$1:C15),$C$1:$C$10,0)),"")</f>
        <v/>
      </c>
      <c r="E15" s="5" t="s">
        <v>9</v>
      </c>
      <c r="F15" s="30">
        <f>--ISNUMBER(IFERROR(SEARCH(Quote!$G$1,E15,1),""))</f>
        <v>1</v>
      </c>
      <c r="G15" s="30">
        <f>IF(F15=1,COUNTIF($F$1:F15,1),"")</f>
        <v>15</v>
      </c>
      <c r="H15" s="30" t="str">
        <f>IFERROR(INDEX($E$1:$E$15,MATCH(ROWS($G$1:G15),$G$1:$G$15,0)),"")</f>
        <v>In Stock</v>
      </c>
      <c r="I15" s="5" t="s">
        <v>42</v>
      </c>
      <c r="J15" s="30">
        <f>--ISNUMBER(IFERROR(SEARCH(Quote!$G$1,I15,1),""))</f>
        <v>1</v>
      </c>
      <c r="K15" s="30">
        <f>IF(J15=1,COUNTIF($J$1:J15,1),"")</f>
        <v>15</v>
      </c>
      <c r="L15" s="30" t="str">
        <f>IFERROR(INDEX($I$1:$I$500,MATCH(ROWS($K$1:K15),$K$1:$K$500,0)),"")</f>
        <v>Atlas Industries</v>
      </c>
    </row>
    <row r="16" spans="1:12" x14ac:dyDescent="0.25">
      <c r="B16" s="30">
        <f>--ISNUMBER(IFERROR(SEARCH(Quote!$G$1,A16,1),""))</f>
        <v>0</v>
      </c>
      <c r="C16" s="30" t="str">
        <f>IF(B16=1,COUNTIF($B$1:B16,1),"")</f>
        <v/>
      </c>
      <c r="D16" s="30" t="str">
        <f>IFERROR(INDEX($A$1:$A$10,MATCH(ROWS($C$1:C16),$C$1:$C$10,0)),"")</f>
        <v/>
      </c>
      <c r="F16" s="30">
        <f>--ISNUMBER(IFERROR(SEARCH(Quote!$G$1,E16,1),""))</f>
        <v>0</v>
      </c>
      <c r="G16" s="30" t="str">
        <f>IF(F16=1,COUNTIF($F$1:F16,1),"")</f>
        <v/>
      </c>
      <c r="H16" s="30" t="str">
        <f>IFERROR(INDEX($E$1:$E$15,MATCH(ROWS($G$1:G16),$G$1:$G$15,0)),"")</f>
        <v/>
      </c>
      <c r="I16" s="5" t="s">
        <v>43</v>
      </c>
      <c r="J16" s="30">
        <f>--ISNUMBER(IFERROR(SEARCH(Quote!$G$1,I16,1),""))</f>
        <v>1</v>
      </c>
      <c r="K16" s="30">
        <f>IF(J16=1,COUNTIF($J$1:J16,1),"")</f>
        <v>16</v>
      </c>
      <c r="L16" s="30" t="str">
        <f>IFERROR(INDEX($I$1:$I$500,MATCH(ROWS($K$1:K16),$K$1:$K$500,0)),"")</f>
        <v>B&amp;E</v>
      </c>
    </row>
    <row r="17" spans="2:12" x14ac:dyDescent="0.25">
      <c r="B17" s="30">
        <f>--ISNUMBER(IFERROR(SEARCH(Quote!$G$1,A17,1),""))</f>
        <v>0</v>
      </c>
      <c r="C17" s="30" t="str">
        <f>IF(B17=1,COUNTIF($B$1:B17,1),"")</f>
        <v/>
      </c>
      <c r="D17" s="30" t="str">
        <f>IFERROR(INDEX($A$1:$A$10,MATCH(ROWS($C$1:C17),$C$1:$C$10,0)),"")</f>
        <v/>
      </c>
      <c r="F17" s="30">
        <f>--ISNUMBER(IFERROR(SEARCH(Quote!$G$1,E17,1),""))</f>
        <v>0</v>
      </c>
      <c r="G17" s="30" t="str">
        <f>IF(F17=1,COUNTIF($F$1:F17,1),"")</f>
        <v/>
      </c>
      <c r="H17" s="30" t="str">
        <f>IFERROR(INDEX($E$1:$E$15,MATCH(ROWS($G$1:G17),$G$1:$G$15,0)),"")</f>
        <v/>
      </c>
      <c r="I17" s="5" t="s">
        <v>44</v>
      </c>
      <c r="J17" s="30">
        <f>--ISNUMBER(IFERROR(SEARCH(Quote!$G$1,I17,1),""))</f>
        <v>1</v>
      </c>
      <c r="K17" s="30">
        <f>IF(J17=1,COUNTIF($J$1:J17,1),"")</f>
        <v>17</v>
      </c>
      <c r="L17" s="30" t="str">
        <f>IFERROR(INDEX($I$1:$I$500,MATCH(ROWS($K$1:K17),$K$1:$K$500,0)),"")</f>
        <v>Belterra</v>
      </c>
    </row>
    <row r="18" spans="2:12" x14ac:dyDescent="0.25">
      <c r="B18" s="30">
        <f>--ISNUMBER(IFERROR(SEARCH(Quote!$G$1,A18,1),""))</f>
        <v>0</v>
      </c>
      <c r="C18" s="30" t="str">
        <f>IF(B18=1,COUNTIF($B$1:B18,1),"")</f>
        <v/>
      </c>
      <c r="D18" s="30" t="str">
        <f>IFERROR(INDEX($A$1:$A$10,MATCH(ROWS($C$1:C18),$C$1:$C$10,0)),"")</f>
        <v/>
      </c>
      <c r="F18" s="30">
        <f>--ISNUMBER(IFERROR(SEARCH(Quote!$G$1,E18,1),""))</f>
        <v>0</v>
      </c>
      <c r="G18" s="30" t="str">
        <f>IF(F18=1,COUNTIF($F$1:F18,1),"")</f>
        <v/>
      </c>
      <c r="H18" s="30" t="str">
        <f>IFERROR(INDEX($E$1:$E$15,MATCH(ROWS($G$1:G18),$G$1:$G$15,0)),"")</f>
        <v/>
      </c>
      <c r="I18" s="5" t="s">
        <v>45</v>
      </c>
      <c r="J18" s="30">
        <f>--ISNUMBER(IFERROR(SEARCH(Quote!$G$1,I18,1),""))</f>
        <v>1</v>
      </c>
      <c r="K18" s="30">
        <f>IF(J18=1,COUNTIF($J$1:J18,1),"")</f>
        <v>18</v>
      </c>
      <c r="L18" s="30" t="str">
        <f>IFERROR(INDEX($I$1:$I$500,MATCH(ROWS($K$1:K18),$K$1:$K$500,0)),"")</f>
        <v>Berendsen Fluid Power LTD</v>
      </c>
    </row>
    <row r="19" spans="2:12" x14ac:dyDescent="0.25">
      <c r="B19" s="30">
        <f>--ISNUMBER(IFERROR(SEARCH(Quote!$G$1,A19,1),""))</f>
        <v>0</v>
      </c>
      <c r="C19" s="30" t="str">
        <f>IF(B19=1,COUNTIF($B$1:B19,1),"")</f>
        <v/>
      </c>
      <c r="D19" s="30" t="str">
        <f>IFERROR(INDEX($A$1:$A$10,MATCH(ROWS($C$1:C19),$C$1:$C$10,0)),"")</f>
        <v/>
      </c>
      <c r="F19" s="30">
        <f>--ISNUMBER(IFERROR(SEARCH(Quote!$G$1,E19,1),""))</f>
        <v>0</v>
      </c>
      <c r="G19" s="30" t="str">
        <f>IF(F19=1,COUNTIF($F$1:F19,1),"")</f>
        <v/>
      </c>
      <c r="H19" s="30" t="str">
        <f>IFERROR(INDEX($E$1:$E$15,MATCH(ROWS($G$1:G19),$G$1:$G$15,0)),"")</f>
        <v/>
      </c>
      <c r="I19" s="5" t="s">
        <v>46</v>
      </c>
      <c r="J19" s="30">
        <f>--ISNUMBER(IFERROR(SEARCH(Quote!$G$1,I19,1),""))</f>
        <v>1</v>
      </c>
      <c r="K19" s="30">
        <f>IF(J19=1,COUNTIF($J$1:J19,1),"")</f>
        <v>19</v>
      </c>
      <c r="L19" s="30" t="str">
        <f>IFERROR(INDEX($I$1:$I$500,MATCH(ROWS($K$1:K19),$K$1:$K$500,0)),"")</f>
        <v>Bolt Supply House</v>
      </c>
    </row>
    <row r="20" spans="2:12" x14ac:dyDescent="0.25">
      <c r="B20" s="30">
        <f>--ISNUMBER(IFERROR(SEARCH(Quote!$G$1,A20,1),""))</f>
        <v>0</v>
      </c>
      <c r="C20" s="30" t="str">
        <f>IF(B20=1,COUNTIF($B$1:B20,1),"")</f>
        <v/>
      </c>
      <c r="D20" s="30" t="str">
        <f>IFERROR(INDEX($A$1:$A$10,MATCH(ROWS($C$1:C20),$C$1:$C$10,0)),"")</f>
        <v/>
      </c>
      <c r="F20" s="30">
        <f>--ISNUMBER(IFERROR(SEARCH(Quote!$G$1,E20,1),""))</f>
        <v>0</v>
      </c>
      <c r="G20" s="30" t="str">
        <f>IF(F20=1,COUNTIF($F$1:F20,1),"")</f>
        <v/>
      </c>
      <c r="H20" s="30" t="str">
        <f>IFERROR(INDEX($E$1:$E$15,MATCH(ROWS($G$1:G20),$G$1:$G$15,0)),"")</f>
        <v/>
      </c>
      <c r="I20" s="5" t="s">
        <v>47</v>
      </c>
      <c r="J20" s="30">
        <f>--ISNUMBER(IFERROR(SEARCH(Quote!$G$1,I20,1),""))</f>
        <v>1</v>
      </c>
      <c r="K20" s="30">
        <f>IF(J20=1,COUNTIF($J$1:J20,1),"")</f>
        <v>20</v>
      </c>
      <c r="L20" s="30" t="str">
        <f>IFERROR(INDEX($I$1:$I$500,MATCH(ROWS($K$1:K20),$K$1:$K$500,0)),"")</f>
        <v>Bosch Rexroth</v>
      </c>
    </row>
    <row r="21" spans="2:12" x14ac:dyDescent="0.25">
      <c r="B21" s="30">
        <f>--ISNUMBER(IFERROR(SEARCH(Quote!$G$1,A21,1),""))</f>
        <v>0</v>
      </c>
      <c r="C21" s="30" t="str">
        <f>IF(B21=1,COUNTIF($B$1:B21,1),"")</f>
        <v/>
      </c>
      <c r="D21" s="30" t="str">
        <f>IFERROR(INDEX($A$1:$A$10,MATCH(ROWS($C$1:C21),$C$1:$C$10,0)),"")</f>
        <v/>
      </c>
      <c r="F21" s="30">
        <f>--ISNUMBER(IFERROR(SEARCH(Quote!$G$1,E21,1),""))</f>
        <v>0</v>
      </c>
      <c r="G21" s="30" t="str">
        <f>IF(F21=1,COUNTIF($F$1:F21,1),"")</f>
        <v/>
      </c>
      <c r="H21" s="30" t="str">
        <f>IFERROR(INDEX($E$1:$E$15,MATCH(ROWS($G$1:G21),$G$1:$G$15,0)),"")</f>
        <v/>
      </c>
      <c r="I21" s="5" t="s">
        <v>48</v>
      </c>
      <c r="J21" s="30">
        <f>--ISNUMBER(IFERROR(SEARCH(Quote!$G$1,I21,1),""))</f>
        <v>1</v>
      </c>
      <c r="K21" s="30">
        <f>IF(J21=1,COUNTIF($J$1:J21,1),"")</f>
        <v>21</v>
      </c>
      <c r="L21" s="30" t="str">
        <f>IFERROR(INDEX($I$1:$I$500,MATCH(ROWS($K$1:K21),$K$1:$K$500,0)),"")</f>
        <v>Cadorath Plating</v>
      </c>
    </row>
    <row r="22" spans="2:12" x14ac:dyDescent="0.25">
      <c r="B22" s="30">
        <f>--ISNUMBER(IFERROR(SEARCH(Quote!$G$1,A22,1),""))</f>
        <v>0</v>
      </c>
      <c r="C22" s="30" t="str">
        <f>IF(B22=1,COUNTIF($B$1:B22,1),"")</f>
        <v/>
      </c>
      <c r="D22" s="30" t="str">
        <f>IFERROR(INDEX($A$1:$A$10,MATCH(ROWS($C$1:C22),$C$1:$C$10,0)),"")</f>
        <v/>
      </c>
      <c r="F22" s="30">
        <f>--ISNUMBER(IFERROR(SEARCH(Quote!$G$1,E22,1),""))</f>
        <v>0</v>
      </c>
      <c r="G22" s="30" t="str">
        <f>IF(F22=1,COUNTIF($F$1:F22,1),"")</f>
        <v/>
      </c>
      <c r="H22" s="30" t="str">
        <f>IFERROR(INDEX($E$1:$E$15,MATCH(ROWS($G$1:G22),$G$1:$G$15,0)),"")</f>
        <v/>
      </c>
      <c r="I22" s="5" t="s">
        <v>49</v>
      </c>
      <c r="J22" s="30">
        <f>--ISNUMBER(IFERROR(SEARCH(Quote!$G$1,I22,1),""))</f>
        <v>1</v>
      </c>
      <c r="K22" s="30">
        <f>IF(J22=1,COUNTIF($J$1:J22,1),"")</f>
        <v>22</v>
      </c>
      <c r="L22" s="30" t="str">
        <f>IFERROR(INDEX($I$1:$I$500,MATCH(ROWS($K$1:K22),$K$1:$K$500,0)),"")</f>
        <v>Canadian Composite Structures</v>
      </c>
    </row>
    <row r="23" spans="2:12" x14ac:dyDescent="0.25">
      <c r="B23" s="30">
        <f>--ISNUMBER(IFERROR(SEARCH(Quote!$G$1,A23,1),""))</f>
        <v>0</v>
      </c>
      <c r="C23" s="30" t="str">
        <f>IF(B23=1,COUNTIF($B$1:B23,1),"")</f>
        <v/>
      </c>
      <c r="D23" s="30" t="str">
        <f>IFERROR(INDEX($A$1:$A$10,MATCH(ROWS($C$1:C23),$C$1:$C$10,0)),"")</f>
        <v/>
      </c>
      <c r="F23" s="30">
        <f>--ISNUMBER(IFERROR(SEARCH(Quote!$G$1,E23,1),""))</f>
        <v>0</v>
      </c>
      <c r="G23" s="30" t="str">
        <f>IF(F23=1,COUNTIF($F$1:F23,1),"")</f>
        <v/>
      </c>
      <c r="H23" s="30" t="str">
        <f>IFERROR(INDEX($E$1:$E$15,MATCH(ROWS($G$1:G23),$G$1:$G$15,0)),"")</f>
        <v/>
      </c>
      <c r="I23" s="5" t="s">
        <v>50</v>
      </c>
      <c r="J23" s="30">
        <f>--ISNUMBER(IFERROR(SEARCH(Quote!$G$1,I23,1),""))</f>
        <v>1</v>
      </c>
      <c r="K23" s="30">
        <f>IF(J23=1,COUNTIF($J$1:J23,1),"")</f>
        <v>23</v>
      </c>
      <c r="L23" s="30" t="str">
        <f>IFERROR(INDEX($I$1:$I$500,MATCH(ROWS($K$1:K23),$K$1:$K$500,0)),"")</f>
        <v>Canadian Tarpaulin</v>
      </c>
    </row>
    <row r="24" spans="2:12" x14ac:dyDescent="0.25">
      <c r="B24" s="30">
        <f>--ISNUMBER(IFERROR(SEARCH(Quote!$G$1,A24,1),""))</f>
        <v>0</v>
      </c>
      <c r="C24" s="30" t="str">
        <f>IF(B24=1,COUNTIF($B$1:B24,1),"")</f>
        <v/>
      </c>
      <c r="D24" s="30" t="str">
        <f>IFERROR(INDEX($A$1:$A$10,MATCH(ROWS($C$1:C24),$C$1:$C$10,0)),"")</f>
        <v/>
      </c>
      <c r="F24" s="30">
        <f>--ISNUMBER(IFERROR(SEARCH(Quote!$G$1,E24,1),""))</f>
        <v>0</v>
      </c>
      <c r="G24" s="30" t="str">
        <f>IF(F24=1,COUNTIF($F$1:F24,1),"")</f>
        <v/>
      </c>
      <c r="H24" s="30" t="str">
        <f>IFERROR(INDEX($E$1:$E$15,MATCH(ROWS($G$1:G24),$G$1:$G$15,0)),"")</f>
        <v/>
      </c>
      <c r="I24" s="5" t="s">
        <v>51</v>
      </c>
      <c r="J24" s="30">
        <f>--ISNUMBER(IFERROR(SEARCH(Quote!$G$1,I24,1),""))</f>
        <v>1</v>
      </c>
      <c r="K24" s="30">
        <f>IF(J24=1,COUNTIF($J$1:J24,1),"")</f>
        <v>24</v>
      </c>
      <c r="L24" s="30" t="str">
        <f>IFERROR(INDEX($I$1:$I$500,MATCH(ROWS($K$1:K24),$K$1:$K$500,0)),"")</f>
        <v>Canadian Welding Bureau</v>
      </c>
    </row>
    <row r="25" spans="2:12" x14ac:dyDescent="0.25">
      <c r="B25" s="30">
        <f>--ISNUMBER(IFERROR(SEARCH(Quote!$G$1,A25,1),""))</f>
        <v>0</v>
      </c>
      <c r="C25" s="30" t="str">
        <f>IF(B25=1,COUNTIF($B$1:B25,1),"")</f>
        <v/>
      </c>
      <c r="D25" s="30" t="str">
        <f>IFERROR(INDEX($A$1:$A$10,MATCH(ROWS($C$1:C25),$C$1:$C$10,0)),"")</f>
        <v/>
      </c>
      <c r="F25" s="30">
        <f>--ISNUMBER(IFERROR(SEARCH(Quote!$G$1,E25,1),""))</f>
        <v>0</v>
      </c>
      <c r="G25" s="30" t="str">
        <f>IF(F25=1,COUNTIF($F$1:F25,1),"")</f>
        <v/>
      </c>
      <c r="H25" s="30" t="str">
        <f>IFERROR(INDEX($E$1:$E$15,MATCH(ROWS($G$1:G25),$G$1:$G$15,0)),"")</f>
        <v/>
      </c>
      <c r="I25" s="5" t="s">
        <v>52</v>
      </c>
      <c r="J25" s="30">
        <f>--ISNUMBER(IFERROR(SEARCH(Quote!$G$1,I25,1),""))</f>
        <v>1</v>
      </c>
      <c r="K25" s="30">
        <f>IF(J25=1,COUNTIF($J$1:J25,1),"")</f>
        <v>25</v>
      </c>
      <c r="L25" s="30" t="str">
        <f>IFERROR(INDEX($I$1:$I$500,MATCH(ROWS($K$1:K25),$K$1:$K$500,0)),"")</f>
        <v>Carolina Conveying</v>
      </c>
    </row>
    <row r="26" spans="2:12" x14ac:dyDescent="0.25">
      <c r="B26" s="30">
        <f>--ISNUMBER(IFERROR(SEARCH(Quote!$G$1,A26,1),""))</f>
        <v>0</v>
      </c>
      <c r="C26" s="30" t="str">
        <f>IF(B26=1,COUNTIF($B$1:B26,1),"")</f>
        <v/>
      </c>
      <c r="D26" s="30" t="str">
        <f>IFERROR(INDEX($A$1:$A$10,MATCH(ROWS($C$1:C26),$C$1:$C$10,0)),"")</f>
        <v/>
      </c>
      <c r="F26" s="30">
        <f>--ISNUMBER(IFERROR(SEARCH(Quote!$G$1,E26,1),""))</f>
        <v>0</v>
      </c>
      <c r="G26" s="30" t="str">
        <f>IF(F26=1,COUNTIF($F$1:F26,1),"")</f>
        <v/>
      </c>
      <c r="H26" s="30" t="str">
        <f>IFERROR(INDEX($E$1:$E$15,MATCH(ROWS($G$1:G26),$G$1:$G$15,0)),"")</f>
        <v/>
      </c>
      <c r="I26" s="5" t="s">
        <v>53</v>
      </c>
      <c r="J26" s="30">
        <f>--ISNUMBER(IFERROR(SEARCH(Quote!$G$1,I26,1),""))</f>
        <v>1</v>
      </c>
      <c r="K26" s="30">
        <f>IF(J26=1,COUNTIF($J$1:J26,1),"")</f>
        <v>26</v>
      </c>
      <c r="L26" s="30" t="str">
        <f>IFERROR(INDEX($I$1:$I$500,MATCH(ROWS($K$1:K26),$K$1:$K$500,0)),"")</f>
        <v>Carr Lane</v>
      </c>
    </row>
    <row r="27" spans="2:12" x14ac:dyDescent="0.25">
      <c r="B27" s="30">
        <f>--ISNUMBER(IFERROR(SEARCH(Quote!$G$1,A27,1),""))</f>
        <v>0</v>
      </c>
      <c r="C27" s="30" t="str">
        <f>IF(B27=1,COUNTIF($B$1:B27,1),"")</f>
        <v/>
      </c>
      <c r="D27" s="30" t="str">
        <f>IFERROR(INDEX($A$1:$A$10,MATCH(ROWS($C$1:C27),$C$1:$C$10,0)),"")</f>
        <v/>
      </c>
      <c r="F27" s="30">
        <f>--ISNUMBER(IFERROR(SEARCH(Quote!$G$1,E27,1),""))</f>
        <v>0</v>
      </c>
      <c r="G27" s="30" t="str">
        <f>IF(F27=1,COUNTIF($F$1:F27,1),"")</f>
        <v/>
      </c>
      <c r="H27" s="30" t="str">
        <f>IFERROR(INDEX($E$1:$E$15,MATCH(ROWS($G$1:G27),$G$1:$G$15,0)),"")</f>
        <v/>
      </c>
      <c r="I27" s="5" t="s">
        <v>54</v>
      </c>
      <c r="J27" s="30">
        <f>--ISNUMBER(IFERROR(SEARCH(Quote!$G$1,I27,1),""))</f>
        <v>1</v>
      </c>
      <c r="K27" s="30">
        <f>IF(J27=1,COUNTIF($J$1:J27,1),"")</f>
        <v>27</v>
      </c>
      <c r="L27" s="30" t="str">
        <f>IFERROR(INDEX($I$1:$I$500,MATCH(ROWS($K$1:K27),$K$1:$K$500,0)),"")</f>
        <v>Castle Metals</v>
      </c>
    </row>
    <row r="28" spans="2:12" x14ac:dyDescent="0.25">
      <c r="B28" s="30">
        <f>--ISNUMBER(IFERROR(SEARCH(Quote!$G$1,A28,1),""))</f>
        <v>0</v>
      </c>
      <c r="C28" s="30" t="str">
        <f>IF(B28=1,COUNTIF($B$1:B28,1),"")</f>
        <v/>
      </c>
      <c r="D28" s="30" t="str">
        <f>IFERROR(INDEX($A$1:$A$10,MATCH(ROWS($C$1:C28),$C$1:$C$10,0)),"")</f>
        <v/>
      </c>
      <c r="F28" s="30">
        <f>--ISNUMBER(IFERROR(SEARCH(Quote!$G$1,E28,1),""))</f>
        <v>0</v>
      </c>
      <c r="G28" s="30" t="str">
        <f>IF(F28=1,COUNTIF($F$1:F28,1),"")</f>
        <v/>
      </c>
      <c r="H28" s="30" t="str">
        <f>IFERROR(INDEX($E$1:$E$15,MATCH(ROWS($G$1:G28),$G$1:$G$15,0)),"")</f>
        <v/>
      </c>
      <c r="I28" s="5" t="s">
        <v>55</v>
      </c>
      <c r="J28" s="30">
        <f>--ISNUMBER(IFERROR(SEARCH(Quote!$G$1,I28,1),""))</f>
        <v>1</v>
      </c>
      <c r="K28" s="30">
        <f>IF(J28=1,COUNTIF($J$1:J28,1),"")</f>
        <v>28</v>
      </c>
      <c r="L28" s="30" t="str">
        <f>IFERROR(INDEX($I$1:$I$500,MATCH(ROWS($K$1:K28),$K$1:$K$500,0)),"")</f>
        <v>CenturyVallen</v>
      </c>
    </row>
    <row r="29" spans="2:12" x14ac:dyDescent="0.25">
      <c r="B29" s="30">
        <f>--ISNUMBER(IFERROR(SEARCH(Quote!$G$1,A29,1),""))</f>
        <v>0</v>
      </c>
      <c r="C29" s="30" t="str">
        <f>IF(B29=1,COUNTIF($B$1:B29,1),"")</f>
        <v/>
      </c>
      <c r="D29" s="30" t="str">
        <f>IFERROR(INDEX($A$1:$A$10,MATCH(ROWS($C$1:C29),$C$1:$C$10,0)),"")</f>
        <v/>
      </c>
      <c r="F29" s="30">
        <f>--ISNUMBER(IFERROR(SEARCH(Quote!$G$1,E29,1),""))</f>
        <v>0</v>
      </c>
      <c r="G29" s="30" t="str">
        <f>IF(F29=1,COUNTIF($F$1:F29,1),"")</f>
        <v/>
      </c>
      <c r="H29" s="30" t="str">
        <f>IFERROR(INDEX($E$1:$E$15,MATCH(ROWS($G$1:G29),$G$1:$G$15,0)),"")</f>
        <v/>
      </c>
      <c r="I29" s="5" t="s">
        <v>56</v>
      </c>
      <c r="J29" s="30">
        <f>--ISNUMBER(IFERROR(SEARCH(Quote!$G$1,I29,1),""))</f>
        <v>1</v>
      </c>
      <c r="K29" s="30">
        <f>IF(J29=1,COUNTIF($J$1:J29,1),"")</f>
        <v>29</v>
      </c>
      <c r="L29" s="30" t="str">
        <f>IFERROR(INDEX($I$1:$I$500,MATCH(ROWS($K$1:K29),$K$1:$K$500,0)),"")</f>
        <v>Columbus McKinnon</v>
      </c>
    </row>
    <row r="30" spans="2:12" x14ac:dyDescent="0.25">
      <c r="B30" s="30">
        <f>--ISNUMBER(IFERROR(SEARCH(Quote!$G$1,A30,1),""))</f>
        <v>0</v>
      </c>
      <c r="C30" s="30" t="str">
        <f>IF(B30=1,COUNTIF($B$1:B30,1),"")</f>
        <v/>
      </c>
      <c r="D30" s="30" t="str">
        <f>IFERROR(INDEX($A$1:$A$10,MATCH(ROWS($C$1:C30),$C$1:$C$10,0)),"")</f>
        <v/>
      </c>
      <c r="F30" s="30">
        <f>--ISNUMBER(IFERROR(SEARCH(Quote!$G$1,E30,1),""))</f>
        <v>0</v>
      </c>
      <c r="G30" s="30" t="str">
        <f>IF(F30=1,COUNTIF($F$1:F30,1),"")</f>
        <v/>
      </c>
      <c r="H30" s="30" t="str">
        <f>IFERROR(INDEX($E$1:$E$15,MATCH(ROWS($G$1:G30),$G$1:$G$15,0)),"")</f>
        <v/>
      </c>
      <c r="I30" s="5" t="s">
        <v>57</v>
      </c>
      <c r="J30" s="30">
        <f>--ISNUMBER(IFERROR(SEARCH(Quote!$G$1,I30,1),""))</f>
        <v>1</v>
      </c>
      <c r="K30" s="30">
        <f>IF(J30=1,COUNTIF($J$1:J30,1),"")</f>
        <v>30</v>
      </c>
      <c r="L30" s="30" t="str">
        <f>IFERROR(INDEX($I$1:$I$500,MATCH(ROWS($K$1:K30),$K$1:$K$500,0)),"")</f>
        <v>Commercial Sand Blasting</v>
      </c>
    </row>
    <row r="31" spans="2:12" x14ac:dyDescent="0.25">
      <c r="B31" s="30">
        <f>--ISNUMBER(IFERROR(SEARCH(Quote!$G$1,A31,1),""))</f>
        <v>0</v>
      </c>
      <c r="C31" s="30" t="str">
        <f>IF(B31=1,COUNTIF($B$1:B31,1),"")</f>
        <v/>
      </c>
      <c r="D31" s="30" t="str">
        <f>IFERROR(INDEX($A$1:$A$10,MATCH(ROWS($C$1:C31),$C$1:$C$10,0)),"")</f>
        <v/>
      </c>
      <c r="F31" s="30">
        <f>--ISNUMBER(IFERROR(SEARCH(Quote!$G$1,E31,1),""))</f>
        <v>0</v>
      </c>
      <c r="G31" s="30" t="str">
        <f>IF(F31=1,COUNTIF($F$1:F31,1),"")</f>
        <v/>
      </c>
      <c r="H31" s="30" t="str">
        <f>IFERROR(INDEX($E$1:$E$15,MATCH(ROWS($G$1:G31),$G$1:$G$15,0)),"")</f>
        <v/>
      </c>
      <c r="I31" s="5" t="s">
        <v>58</v>
      </c>
      <c r="J31" s="30">
        <f>--ISNUMBER(IFERROR(SEARCH(Quote!$G$1,I31,1),""))</f>
        <v>1</v>
      </c>
      <c r="K31" s="30">
        <f>IF(J31=1,COUNTIF($J$1:J31,1),"")</f>
        <v>31</v>
      </c>
      <c r="L31" s="30" t="str">
        <f>IFERROR(INDEX($I$1:$I$500,MATCH(ROWS($K$1:K31),$K$1:$K$500,0)),"")</f>
        <v>Construction Fasteners and Tools</v>
      </c>
    </row>
    <row r="32" spans="2:12" x14ac:dyDescent="0.25">
      <c r="B32" s="30">
        <f>--ISNUMBER(IFERROR(SEARCH(Quote!$G$1,A32,1),""))</f>
        <v>0</v>
      </c>
      <c r="C32" s="30" t="str">
        <f>IF(B32=1,COUNTIF($B$1:B32,1),"")</f>
        <v/>
      </c>
      <c r="D32" s="30" t="str">
        <f>IFERROR(INDEX($A$1:$A$10,MATCH(ROWS($C$1:C32),$C$1:$C$10,0)),"")</f>
        <v/>
      </c>
      <c r="F32" s="30">
        <f>--ISNUMBER(IFERROR(SEARCH(Quote!$G$1,E32,1),""))</f>
        <v>0</v>
      </c>
      <c r="G32" s="30" t="str">
        <f>IF(F32=1,COUNTIF($F$1:F32,1),"")</f>
        <v/>
      </c>
      <c r="H32" s="30" t="str">
        <f>IFERROR(INDEX($E$1:$E$15,MATCH(ROWS($G$1:G32),$G$1:$G$15,0)),"")</f>
        <v/>
      </c>
      <c r="I32" s="5" t="s">
        <v>59</v>
      </c>
      <c r="J32" s="30">
        <f>--ISNUMBER(IFERROR(SEARCH(Quote!$G$1,I32,1),""))</f>
        <v>1</v>
      </c>
      <c r="K32" s="30">
        <f>IF(J32=1,COUNTIF($J$1:J32,1),"")</f>
        <v>32</v>
      </c>
      <c r="L32" s="30" t="str">
        <f>IFERROR(INDEX($I$1:$I$500,MATCH(ROWS($K$1:K32),$K$1:$K$500,0)),"")</f>
        <v>Continental Imaging</v>
      </c>
    </row>
    <row r="33" spans="2:12" x14ac:dyDescent="0.25">
      <c r="B33" s="30">
        <f>--ISNUMBER(IFERROR(SEARCH(Quote!$G$1,A33,1),""))</f>
        <v>0</v>
      </c>
      <c r="C33" s="30" t="str">
        <f>IF(B33=1,COUNTIF($B$1:B33,1),"")</f>
        <v/>
      </c>
      <c r="D33" s="30" t="str">
        <f>IFERROR(INDEX($A$1:$A$10,MATCH(ROWS($C$1:C33),$C$1:$C$10,0)),"")</f>
        <v/>
      </c>
      <c r="F33" s="30">
        <f>--ISNUMBER(IFERROR(SEARCH(Quote!$G$1,E33,1),""))</f>
        <v>0</v>
      </c>
      <c r="G33" s="30" t="str">
        <f>IF(F33=1,COUNTIF($F$1:F33,1),"")</f>
        <v/>
      </c>
      <c r="H33" s="30" t="str">
        <f>IFERROR(INDEX($E$1:$E$15,MATCH(ROWS($G$1:G33),$G$1:$G$15,0)),"")</f>
        <v/>
      </c>
      <c r="I33" s="5" t="s">
        <v>60</v>
      </c>
      <c r="J33" s="30">
        <f>--ISNUMBER(IFERROR(SEARCH(Quote!$G$1,I33,1),""))</f>
        <v>1</v>
      </c>
      <c r="K33" s="30">
        <f>IF(J33=1,COUNTIF($J$1:J33,1),"")</f>
        <v>33</v>
      </c>
      <c r="L33" s="30" t="str">
        <f>IFERROR(INDEX($I$1:$I$500,MATCH(ROWS($K$1:K33),$K$1:$K$500,0)),"")</f>
        <v>Conveyer &amp; Machine</v>
      </c>
    </row>
    <row r="34" spans="2:12" x14ac:dyDescent="0.25">
      <c r="B34" s="30">
        <f>--ISNUMBER(IFERROR(SEARCH(Quote!$G$1,A34,1),""))</f>
        <v>0</v>
      </c>
      <c r="C34" s="30" t="str">
        <f>IF(B34=1,COUNTIF($B$1:B34,1),"")</f>
        <v/>
      </c>
      <c r="D34" s="30" t="str">
        <f>IFERROR(INDEX($A$1:$A$10,MATCH(ROWS($C$1:C34),$C$1:$C$10,0)),"")</f>
        <v/>
      </c>
      <c r="F34" s="30">
        <f>--ISNUMBER(IFERROR(SEARCH(Quote!$G$1,E34,1),""))</f>
        <v>0</v>
      </c>
      <c r="G34" s="30" t="str">
        <f>IF(F34=1,COUNTIF($F$1:F34,1),"")</f>
        <v/>
      </c>
      <c r="H34" s="30" t="str">
        <f>IFERROR(INDEX($E$1:$E$15,MATCH(ROWS($G$1:G34),$G$1:$G$15,0)),"")</f>
        <v/>
      </c>
      <c r="I34" s="5" t="s">
        <v>61</v>
      </c>
      <c r="J34" s="30">
        <f>--ISNUMBER(IFERROR(SEARCH(Quote!$G$1,I34,1),""))</f>
        <v>1</v>
      </c>
      <c r="K34" s="30">
        <f>IF(J34=1,COUNTIF($J$1:J34,1),"")</f>
        <v>34</v>
      </c>
      <c r="L34" s="30" t="str">
        <f>IFERROR(INDEX($I$1:$I$500,MATCH(ROWS($K$1:K34),$K$1:$K$500,0)),"")</f>
        <v>Custom Courier</v>
      </c>
    </row>
    <row r="35" spans="2:12" x14ac:dyDescent="0.25">
      <c r="B35" s="30">
        <f>--ISNUMBER(IFERROR(SEARCH(Quote!$G$1,A35,1),""))</f>
        <v>0</v>
      </c>
      <c r="C35" s="30" t="str">
        <f>IF(B35=1,COUNTIF($B$1:B35,1),"")</f>
        <v/>
      </c>
      <c r="D35" s="30" t="str">
        <f>IFERROR(INDEX($A$1:$A$10,MATCH(ROWS($C$1:C35),$C$1:$C$10,0)),"")</f>
        <v/>
      </c>
      <c r="F35" s="30">
        <f>--ISNUMBER(IFERROR(SEARCH(Quote!$G$1,E35,1),""))</f>
        <v>0</v>
      </c>
      <c r="G35" s="30" t="str">
        <f>IF(F35=1,COUNTIF($F$1:F35,1),"")</f>
        <v/>
      </c>
      <c r="H35" s="30" t="str">
        <f>IFERROR(INDEX($E$1:$E$15,MATCH(ROWS($G$1:G35),$G$1:$G$15,0)),"")</f>
        <v/>
      </c>
      <c r="I35" s="5" t="s">
        <v>62</v>
      </c>
      <c r="J35" s="30">
        <f>--ISNUMBER(IFERROR(SEARCH(Quote!$G$1,I35,1),""))</f>
        <v>1</v>
      </c>
      <c r="K35" s="30">
        <f>IF(J35=1,COUNTIF($J$1:J35,1),"")</f>
        <v>35</v>
      </c>
      <c r="L35" s="30" t="str">
        <f>IFERROR(INDEX($I$1:$I$500,MATCH(ROWS($K$1:K35),$K$1:$K$500,0)),"")</f>
        <v>Custom Plate and Profiles</v>
      </c>
    </row>
    <row r="36" spans="2:12" x14ac:dyDescent="0.25">
      <c r="B36" s="30">
        <f>--ISNUMBER(IFERROR(SEARCH(Quote!$G$1,A36,1),""))</f>
        <v>0</v>
      </c>
      <c r="C36" s="30" t="str">
        <f>IF(B36=1,COUNTIF($B$1:B36,1),"")</f>
        <v/>
      </c>
      <c r="D36" s="30" t="str">
        <f>IFERROR(INDEX($A$1:$A$10,MATCH(ROWS($C$1:C36),$C$1:$C$10,0)),"")</f>
        <v/>
      </c>
      <c r="F36" s="30">
        <f>--ISNUMBER(IFERROR(SEARCH(Quote!$G$1,E36,1),""))</f>
        <v>0</v>
      </c>
      <c r="G36" s="30" t="str">
        <f>IF(F36=1,COUNTIF($F$1:F36,1),"")</f>
        <v/>
      </c>
      <c r="H36" s="30" t="str">
        <f>IFERROR(INDEX($E$1:$E$15,MATCH(ROWS($G$1:G36),$G$1:$G$15,0)),"")</f>
        <v/>
      </c>
      <c r="I36" s="5" t="s">
        <v>63</v>
      </c>
      <c r="J36" s="30">
        <f>--ISNUMBER(IFERROR(SEARCH(Quote!$G$1,I36,1),""))</f>
        <v>1</v>
      </c>
      <c r="K36" s="30">
        <f>IF(J36=1,COUNTIF($J$1:J36,1),"")</f>
        <v>36</v>
      </c>
      <c r="L36" s="30" t="str">
        <f>IFERROR(INDEX($I$1:$I$500,MATCH(ROWS($K$1:K36),$K$1:$K$500,0)),"")</f>
        <v>Cypress Sales</v>
      </c>
    </row>
    <row r="37" spans="2:12" x14ac:dyDescent="0.25">
      <c r="B37" s="30">
        <f>--ISNUMBER(IFERROR(SEARCH(Quote!$G$1,A37,1),""))</f>
        <v>0</v>
      </c>
      <c r="C37" s="30" t="str">
        <f>IF(B37=1,COUNTIF($B$1:B37,1),"")</f>
        <v/>
      </c>
      <c r="D37" s="30" t="str">
        <f>IFERROR(INDEX($A$1:$A$10,MATCH(ROWS($C$1:C37),$C$1:$C$10,0)),"")</f>
        <v/>
      </c>
      <c r="F37" s="30">
        <f>--ISNUMBER(IFERROR(SEARCH(Quote!$G$1,E37,1),""))</f>
        <v>0</v>
      </c>
      <c r="G37" s="30" t="str">
        <f>IF(F37=1,COUNTIF($F$1:F37,1),"")</f>
        <v/>
      </c>
      <c r="H37" s="30" t="str">
        <f>IFERROR(INDEX($E$1:$E$15,MATCH(ROWS($G$1:G37),$G$1:$G$15,0)),"")</f>
        <v/>
      </c>
      <c r="I37" s="5" t="s">
        <v>64</v>
      </c>
      <c r="J37" s="30">
        <f>--ISNUMBER(IFERROR(SEARCH(Quote!$G$1,I37,1),""))</f>
        <v>1</v>
      </c>
      <c r="K37" s="30">
        <f>IF(J37=1,COUNTIF($J$1:J37,1),"")</f>
        <v>37</v>
      </c>
      <c r="L37" s="30" t="str">
        <f>IFERROR(INDEX($I$1:$I$500,MATCH(ROWS($K$1:K37),$K$1:$K$500,0)),"")</f>
        <v>Daam Galvanizing (Provincial)</v>
      </c>
    </row>
    <row r="38" spans="2:12" x14ac:dyDescent="0.25">
      <c r="B38" s="30">
        <f>--ISNUMBER(IFERROR(SEARCH(Quote!$G$1,A38,1),""))</f>
        <v>0</v>
      </c>
      <c r="C38" s="30" t="str">
        <f>IF(B38=1,COUNTIF($B$1:B38,1),"")</f>
        <v/>
      </c>
      <c r="D38" s="30" t="str">
        <f>IFERROR(INDEX($A$1:$A$10,MATCH(ROWS($C$1:C38),$C$1:$C$10,0)),"")</f>
        <v/>
      </c>
      <c r="F38" s="30">
        <f>--ISNUMBER(IFERROR(SEARCH(Quote!$G$1,E38,1),""))</f>
        <v>0</v>
      </c>
      <c r="G38" s="30" t="str">
        <f>IF(F38=1,COUNTIF($F$1:F38,1),"")</f>
        <v/>
      </c>
      <c r="H38" s="30" t="str">
        <f>IFERROR(INDEX($E$1:$E$15,MATCH(ROWS($G$1:G38),$G$1:$G$15,0)),"")</f>
        <v/>
      </c>
      <c r="I38" s="5" t="s">
        <v>65</v>
      </c>
      <c r="J38" s="30">
        <f>--ISNUMBER(IFERROR(SEARCH(Quote!$G$1,I38,1),""))</f>
        <v>1</v>
      </c>
      <c r="K38" s="30">
        <f>IF(J38=1,COUNTIF($J$1:J38,1),"")</f>
        <v>38</v>
      </c>
      <c r="L38" s="30" t="str">
        <f>IFERROR(INDEX($I$1:$I$500,MATCH(ROWS($K$1:K38),$K$1:$K$500,0)),"")</f>
        <v>DGI Supply</v>
      </c>
    </row>
    <row r="39" spans="2:12" x14ac:dyDescent="0.25">
      <c r="B39" s="30">
        <f>--ISNUMBER(IFERROR(SEARCH(Quote!$G$1,A39,1),""))</f>
        <v>0</v>
      </c>
      <c r="C39" s="30" t="str">
        <f>IF(B39=1,COUNTIF($B$1:B39,1),"")</f>
        <v/>
      </c>
      <c r="D39" s="30" t="str">
        <f>IFERROR(INDEX($A$1:$A$10,MATCH(ROWS($C$1:C39),$C$1:$C$10,0)),"")</f>
        <v/>
      </c>
      <c r="F39" s="30">
        <f>--ISNUMBER(IFERROR(SEARCH(Quote!$G$1,E39,1),""))</f>
        <v>0</v>
      </c>
      <c r="G39" s="30" t="str">
        <f>IF(F39=1,COUNTIF($F$1:F39,1),"")</f>
        <v/>
      </c>
      <c r="H39" s="30" t="str">
        <f>IFERROR(INDEX($E$1:$E$15,MATCH(ROWS($G$1:G39),$G$1:$G$15,0)),"")</f>
        <v/>
      </c>
      <c r="I39" s="5" t="s">
        <v>66</v>
      </c>
      <c r="J39" s="30">
        <f>--ISNUMBER(IFERROR(SEARCH(Quote!$G$1,I39,1),""))</f>
        <v>1</v>
      </c>
      <c r="K39" s="30">
        <f>IF(J39=1,COUNTIF($J$1:J39,1),"")</f>
        <v>39</v>
      </c>
      <c r="L39" s="30" t="str">
        <f>IFERROR(INDEX($I$1:$I$500,MATCH(ROWS($K$1:K39),$K$1:$K$500,0)),"")</f>
        <v>DK-LOK Canada</v>
      </c>
    </row>
    <row r="40" spans="2:12" x14ac:dyDescent="0.25">
      <c r="B40" s="30">
        <f>--ISNUMBER(IFERROR(SEARCH(Quote!$G$1,A40,1),""))</f>
        <v>0</v>
      </c>
      <c r="C40" s="30" t="str">
        <f>IF(B40=1,COUNTIF($B$1:B40,1),"")</f>
        <v/>
      </c>
      <c r="D40" s="30" t="str">
        <f>IFERROR(INDEX($A$1:$A$10,MATCH(ROWS($C$1:C40),$C$1:$C$10,0)),"")</f>
        <v/>
      </c>
      <c r="F40" s="30">
        <f>--ISNUMBER(IFERROR(SEARCH(Quote!$G$1,E40,1),""))</f>
        <v>0</v>
      </c>
      <c r="G40" s="30" t="str">
        <f>IF(F40=1,COUNTIF($F$1:F40,1),"")</f>
        <v/>
      </c>
      <c r="H40" s="30" t="str">
        <f>IFERROR(INDEX($E$1:$E$15,MATCH(ROWS($G$1:G40),$G$1:$G$15,0)),"")</f>
        <v/>
      </c>
      <c r="I40" s="5" t="s">
        <v>67</v>
      </c>
      <c r="J40" s="30">
        <f>--ISNUMBER(IFERROR(SEARCH(Quote!$G$1,I40,1),""))</f>
        <v>1</v>
      </c>
      <c r="K40" s="30">
        <f>IF(J40=1,COUNTIF($J$1:J40,1),"")</f>
        <v>40</v>
      </c>
      <c r="L40" s="30" t="str">
        <f>IFERROR(INDEX($I$1:$I$500,MATCH(ROWS($K$1:K40),$K$1:$K$500,0)),"")</f>
        <v>Eagleye</v>
      </c>
    </row>
    <row r="41" spans="2:12" x14ac:dyDescent="0.25">
      <c r="B41" s="30">
        <f>--ISNUMBER(IFERROR(SEARCH(Quote!$G$1,A41,1),""))</f>
        <v>0</v>
      </c>
      <c r="C41" s="30" t="str">
        <f>IF(B41=1,COUNTIF($B$1:B41,1),"")</f>
        <v/>
      </c>
      <c r="D41" s="30" t="str">
        <f>IFERROR(INDEX($A$1:$A$10,MATCH(ROWS($C$1:C41),$C$1:$C$10,0)),"")</f>
        <v/>
      </c>
      <c r="F41" s="30">
        <f>--ISNUMBER(IFERROR(SEARCH(Quote!$G$1,E41,1),""))</f>
        <v>0</v>
      </c>
      <c r="G41" s="30" t="str">
        <f>IF(F41=1,COUNTIF($F$1:F41,1),"")</f>
        <v/>
      </c>
      <c r="H41" s="30" t="str">
        <f>IFERROR(INDEX($E$1:$E$15,MATCH(ROWS($G$1:G41),$G$1:$G$15,0)),"")</f>
        <v/>
      </c>
      <c r="I41" s="5" t="s">
        <v>68</v>
      </c>
      <c r="J41" s="30">
        <f>--ISNUMBER(IFERROR(SEARCH(Quote!$G$1,I41,1),""))</f>
        <v>1</v>
      </c>
      <c r="K41" s="30">
        <f>IF(J41=1,COUNTIF($J$1:J41,1),"")</f>
        <v>41</v>
      </c>
      <c r="L41" s="30" t="str">
        <f>IFERROR(INDEX($I$1:$I$500,MATCH(ROWS($K$1:K41),$K$1:$K$500,0)),"")</f>
        <v>Eaton - Vickers</v>
      </c>
    </row>
    <row r="42" spans="2:12" x14ac:dyDescent="0.25">
      <c r="B42" s="30">
        <f>--ISNUMBER(IFERROR(SEARCH(Quote!$G$1,A42,1),""))</f>
        <v>0</v>
      </c>
      <c r="C42" s="30" t="str">
        <f>IF(B42=1,COUNTIF($B$1:B42,1),"")</f>
        <v/>
      </c>
      <c r="D42" s="30" t="str">
        <f>IFERROR(INDEX($A$1:$A$10,MATCH(ROWS($C$1:C42),$C$1:$C$10,0)),"")</f>
        <v/>
      </c>
      <c r="F42" s="30">
        <f>--ISNUMBER(IFERROR(SEARCH(Quote!$G$1,E42,1),""))</f>
        <v>0</v>
      </c>
      <c r="G42" s="30" t="str">
        <f>IF(F42=1,COUNTIF($F$1:F42,1),"")</f>
        <v/>
      </c>
      <c r="H42" s="30" t="str">
        <f>IFERROR(INDEX($E$1:$E$15,MATCH(ROWS($G$1:G42),$G$1:$G$15,0)),"")</f>
        <v/>
      </c>
      <c r="I42" s="5" t="s">
        <v>69</v>
      </c>
      <c r="J42" s="30">
        <f>--ISNUMBER(IFERROR(SEARCH(Quote!$G$1,I42,1),""))</f>
        <v>1</v>
      </c>
      <c r="K42" s="30">
        <f>IF(J42=1,COUNTIF($J$1:J42,1),"")</f>
        <v>42</v>
      </c>
      <c r="L42" s="30" t="str">
        <f>IFERROR(INDEX($I$1:$I$500,MATCH(ROWS($K$1:K42),$K$1:$K$500,0)),"")</f>
        <v>Ecco (Custom Metal Fabrication)</v>
      </c>
    </row>
    <row r="43" spans="2:12" x14ac:dyDescent="0.25">
      <c r="B43" s="30">
        <f>--ISNUMBER(IFERROR(SEARCH(Quote!$G$1,A43,1),""))</f>
        <v>0</v>
      </c>
      <c r="C43" s="30" t="str">
        <f>IF(B43=1,COUNTIF($B$1:B43,1),"")</f>
        <v/>
      </c>
      <c r="D43" s="30" t="str">
        <f>IFERROR(INDEX($A$1:$A$10,MATCH(ROWS($C$1:C43),$C$1:$C$10,0)),"")</f>
        <v/>
      </c>
      <c r="F43" s="30">
        <f>--ISNUMBER(IFERROR(SEARCH(Quote!$G$1,E43,1),""))</f>
        <v>0</v>
      </c>
      <c r="G43" s="30" t="str">
        <f>IF(F43=1,COUNTIF($F$1:F43,1),"")</f>
        <v/>
      </c>
      <c r="H43" s="30" t="str">
        <f>IFERROR(INDEX($E$1:$E$15,MATCH(ROWS($G$1:G43),$G$1:$G$15,0)),"")</f>
        <v/>
      </c>
      <c r="I43" s="5" t="s">
        <v>70</v>
      </c>
      <c r="J43" s="30">
        <f>--ISNUMBER(IFERROR(SEARCH(Quote!$G$1,I43,1),""))</f>
        <v>1</v>
      </c>
      <c r="K43" s="30">
        <f>IF(J43=1,COUNTIF($J$1:J43,1),"")</f>
        <v>43</v>
      </c>
      <c r="L43" s="30" t="str">
        <f>IFERROR(INDEX($I$1:$I$500,MATCH(ROWS($K$1:K43),$K$1:$K$500,0)),"")</f>
        <v>Edmonton Exchanger</v>
      </c>
    </row>
    <row r="44" spans="2:12" x14ac:dyDescent="0.25">
      <c r="B44" s="30">
        <f>--ISNUMBER(IFERROR(SEARCH(Quote!$G$1,A44,1),""))</f>
        <v>0</v>
      </c>
      <c r="C44" s="30" t="str">
        <f>IF(B44=1,COUNTIF($B$1:B44,1),"")</f>
        <v/>
      </c>
      <c r="D44" s="30" t="str">
        <f>IFERROR(INDEX($A$1:$A$10,MATCH(ROWS($C$1:C44),$C$1:$C$10,0)),"")</f>
        <v/>
      </c>
      <c r="F44" s="30">
        <f>--ISNUMBER(IFERROR(SEARCH(Quote!$G$1,E44,1),""))</f>
        <v>0</v>
      </c>
      <c r="G44" s="30" t="str">
        <f>IF(F44=1,COUNTIF($F$1:F44,1),"")</f>
        <v/>
      </c>
      <c r="H44" s="30" t="str">
        <f>IFERROR(INDEX($E$1:$E$15,MATCH(ROWS($G$1:G44),$G$1:$G$15,0)),"")</f>
        <v/>
      </c>
      <c r="I44" s="5" t="s">
        <v>71</v>
      </c>
      <c r="J44" s="30">
        <f>--ISNUMBER(IFERROR(SEARCH(Quote!$G$1,I44,1),""))</f>
        <v>1</v>
      </c>
      <c r="K44" s="30">
        <f>IF(J44=1,COUNTIF($J$1:J44,1),"")</f>
        <v>44</v>
      </c>
      <c r="L44" s="30" t="str">
        <f>IFERROR(INDEX($I$1:$I$500,MATCH(ROWS($K$1:K44),$K$1:$K$500,0)),"")</f>
        <v>Eecol Electric</v>
      </c>
    </row>
    <row r="45" spans="2:12" x14ac:dyDescent="0.25">
      <c r="B45" s="30">
        <f>--ISNUMBER(IFERROR(SEARCH(Quote!$G$1,A45,1),""))</f>
        <v>0</v>
      </c>
      <c r="C45" s="30" t="str">
        <f>IF(B45=1,COUNTIF($B$1:B45,1),"")</f>
        <v/>
      </c>
      <c r="D45" s="30" t="str">
        <f>IFERROR(INDEX($A$1:$A$10,MATCH(ROWS($C$1:C45),$C$1:$C$10,0)),"")</f>
        <v/>
      </c>
      <c r="F45" s="30">
        <f>--ISNUMBER(IFERROR(SEARCH(Quote!$G$1,E45,1),""))</f>
        <v>0</v>
      </c>
      <c r="G45" s="30" t="str">
        <f>IF(F45=1,COUNTIF($F$1:F45,1),"")</f>
        <v/>
      </c>
      <c r="H45" s="30" t="str">
        <f>IFERROR(INDEX($E$1:$E$15,MATCH(ROWS($G$1:G45),$G$1:$G$15,0)),"")</f>
        <v/>
      </c>
      <c r="I45" s="5" t="s">
        <v>72</v>
      </c>
      <c r="J45" s="30">
        <f>--ISNUMBER(IFERROR(SEARCH(Quote!$G$1,I45,1),""))</f>
        <v>1</v>
      </c>
      <c r="K45" s="30">
        <f>IF(J45=1,COUNTIF($J$1:J45,1),"")</f>
        <v>45</v>
      </c>
      <c r="L45" s="30" t="str">
        <f>IFERROR(INDEX($I$1:$I$500,MATCH(ROWS($K$1:K45),$K$1:$K$500,0)),"")</f>
        <v>Ellenn Plastics</v>
      </c>
    </row>
    <row r="46" spans="2:12" x14ac:dyDescent="0.25">
      <c r="B46" s="30">
        <f>--ISNUMBER(IFERROR(SEARCH(Quote!$G$1,A46,1),""))</f>
        <v>0</v>
      </c>
      <c r="C46" s="30" t="str">
        <f>IF(B46=1,COUNTIF($B$1:B46,1),"")</f>
        <v/>
      </c>
      <c r="D46" s="30" t="str">
        <f>IFERROR(INDEX($A$1:$A$10,MATCH(ROWS($C$1:C46),$C$1:$C$10,0)),"")</f>
        <v/>
      </c>
      <c r="F46" s="30">
        <f>--ISNUMBER(IFERROR(SEARCH(Quote!$G$1,E46,1),""))</f>
        <v>0</v>
      </c>
      <c r="G46" s="30" t="str">
        <f>IF(F46=1,COUNTIF($F$1:F46,1),"")</f>
        <v/>
      </c>
      <c r="H46" s="30" t="str">
        <f>IFERROR(INDEX($E$1:$E$15,MATCH(ROWS($G$1:G46),$G$1:$G$15,0)),"")</f>
        <v/>
      </c>
      <c r="I46" s="5" t="s">
        <v>73</v>
      </c>
      <c r="J46" s="30">
        <f>--ISNUMBER(IFERROR(SEARCH(Quote!$G$1,I46,1),""))</f>
        <v>1</v>
      </c>
      <c r="K46" s="30">
        <f>IF(J46=1,COUNTIF($J$1:J46,1),"")</f>
        <v>46</v>
      </c>
      <c r="L46" s="30" t="str">
        <f>IFERROR(INDEX($I$1:$I$500,MATCH(ROWS($K$1:K46),$K$1:$K$500,0)),"")</f>
        <v>Eriks Industrial Services (Goodall Rubber)</v>
      </c>
    </row>
    <row r="47" spans="2:12" x14ac:dyDescent="0.25">
      <c r="B47" s="30">
        <f>--ISNUMBER(IFERROR(SEARCH(Quote!$G$1,A47,1),""))</f>
        <v>0</v>
      </c>
      <c r="C47" s="30" t="str">
        <f>IF(B47=1,COUNTIF($B$1:B47,1),"")</f>
        <v/>
      </c>
      <c r="D47" s="30" t="str">
        <f>IFERROR(INDEX($A$1:$A$10,MATCH(ROWS($C$1:C47),$C$1:$C$10,0)),"")</f>
        <v/>
      </c>
      <c r="F47" s="30">
        <f>--ISNUMBER(IFERROR(SEARCH(Quote!$G$1,E47,1),""))</f>
        <v>0</v>
      </c>
      <c r="G47" s="30" t="str">
        <f>IF(F47=1,COUNTIF($F$1:F47,1),"")</f>
        <v/>
      </c>
      <c r="H47" s="30" t="str">
        <f>IFERROR(INDEX($E$1:$E$15,MATCH(ROWS($G$1:G47),$G$1:$G$15,0)),"")</f>
        <v/>
      </c>
      <c r="I47" s="5" t="s">
        <v>74</v>
      </c>
      <c r="J47" s="30">
        <f>--ISNUMBER(IFERROR(SEARCH(Quote!$G$1,I47,1),""))</f>
        <v>1</v>
      </c>
      <c r="K47" s="30">
        <f>IF(J47=1,COUNTIF($J$1:J47,1),"")</f>
        <v>47</v>
      </c>
      <c r="L47" s="30" t="str">
        <f>IFERROR(INDEX($I$1:$I$500,MATCH(ROWS($K$1:K47),$K$1:$K$500,0)),"")</f>
        <v>Fabco Plastics Saskatoon Limited</v>
      </c>
    </row>
    <row r="48" spans="2:12" x14ac:dyDescent="0.25">
      <c r="B48" s="30">
        <f>--ISNUMBER(IFERROR(SEARCH(Quote!$G$1,A48,1),""))</f>
        <v>0</v>
      </c>
      <c r="C48" s="30" t="str">
        <f>IF(B48=1,COUNTIF($B$1:B48,1),"")</f>
        <v/>
      </c>
      <c r="D48" s="30" t="str">
        <f>IFERROR(INDEX($A$1:$A$10,MATCH(ROWS($C$1:C48),$C$1:$C$10,0)),"")</f>
        <v/>
      </c>
      <c r="F48" s="30">
        <f>--ISNUMBER(IFERROR(SEARCH(Quote!$G$1,E48,1),""))</f>
        <v>0</v>
      </c>
      <c r="G48" s="30" t="str">
        <f>IF(F48=1,COUNTIF($F$1:F48,1),"")</f>
        <v/>
      </c>
      <c r="H48" s="30" t="str">
        <f>IFERROR(INDEX($E$1:$E$15,MATCH(ROWS($G$1:G48),$G$1:$G$15,0)),"")</f>
        <v/>
      </c>
      <c r="I48" s="5" t="s">
        <v>75</v>
      </c>
      <c r="J48" s="30">
        <f>--ISNUMBER(IFERROR(SEARCH(Quote!$G$1,I48,1),""))</f>
        <v>1</v>
      </c>
      <c r="K48" s="30">
        <f>IF(J48=1,COUNTIF($J$1:J48,1),"")</f>
        <v>48</v>
      </c>
      <c r="L48" s="30" t="str">
        <f>IFERROR(INDEX($I$1:$I$500,MATCH(ROWS($K$1:K48),$K$1:$K$500,0)),"")</f>
        <v>Fastenal Company</v>
      </c>
    </row>
    <row r="49" spans="2:12" x14ac:dyDescent="0.25">
      <c r="B49" s="30">
        <f>--ISNUMBER(IFERROR(SEARCH(Quote!$G$1,A49,1),""))</f>
        <v>0</v>
      </c>
      <c r="C49" s="30" t="str">
        <f>IF(B49=1,COUNTIF($B$1:B49,1),"")</f>
        <v/>
      </c>
      <c r="D49" s="30" t="str">
        <f>IFERROR(INDEX($A$1:$A$10,MATCH(ROWS($C$1:C49),$C$1:$C$10,0)),"")</f>
        <v/>
      </c>
      <c r="F49" s="30">
        <f>--ISNUMBER(IFERROR(SEARCH(Quote!$G$1,E49,1),""))</f>
        <v>0</v>
      </c>
      <c r="G49" s="30" t="str">
        <f>IF(F49=1,COUNTIF($F$1:F49,1),"")</f>
        <v/>
      </c>
      <c r="H49" s="30" t="str">
        <f>IFERROR(INDEX($E$1:$E$15,MATCH(ROWS($G$1:G49),$G$1:$G$15,0)),"")</f>
        <v/>
      </c>
      <c r="I49" s="5" t="s">
        <v>76</v>
      </c>
      <c r="J49" s="30">
        <f>--ISNUMBER(IFERROR(SEARCH(Quote!$G$1,I49,1),""))</f>
        <v>1</v>
      </c>
      <c r="K49" s="30">
        <f>IF(J49=1,COUNTIF($J$1:J49,1),"")</f>
        <v>49</v>
      </c>
      <c r="L49" s="30" t="str">
        <f>IFERROR(INDEX($I$1:$I$500,MATCH(ROWS($K$1:K49),$K$1:$K$500,0)),"")</f>
        <v>Fastener Warehouse</v>
      </c>
    </row>
    <row r="50" spans="2:12" x14ac:dyDescent="0.25">
      <c r="B50" s="30">
        <f>--ISNUMBER(IFERROR(SEARCH(Quote!$G$1,A50,1),""))</f>
        <v>0</v>
      </c>
      <c r="C50" s="30" t="str">
        <f>IF(B50=1,COUNTIF($B$1:B50,1),"")</f>
        <v/>
      </c>
      <c r="D50" s="30" t="str">
        <f>IFERROR(INDEX($A$1:$A$10,MATCH(ROWS($C$1:C50),$C$1:$C$10,0)),"")</f>
        <v/>
      </c>
      <c r="F50" s="30">
        <f>--ISNUMBER(IFERROR(SEARCH(Quote!$G$1,E50,1),""))</f>
        <v>0</v>
      </c>
      <c r="G50" s="30" t="str">
        <f>IF(F50=1,COUNTIF($F$1:F50,1),"")</f>
        <v/>
      </c>
      <c r="H50" s="30" t="str">
        <f>IFERROR(INDEX($E$1:$E$15,MATCH(ROWS($G$1:G50),$G$1:$G$15,0)),"")</f>
        <v/>
      </c>
      <c r="I50" s="5" t="s">
        <v>77</v>
      </c>
      <c r="J50" s="30">
        <f>--ISNUMBER(IFERROR(SEARCH(Quote!$G$1,I50,1),""))</f>
        <v>1</v>
      </c>
      <c r="K50" s="30">
        <f>IF(J50=1,COUNTIF($J$1:J50,1),"")</f>
        <v>50</v>
      </c>
      <c r="L50" s="30" t="str">
        <f>IFERROR(INDEX($I$1:$I$500,MATCH(ROWS($K$1:K50),$K$1:$K$500,0)),"")</f>
        <v>Fisher &amp; Ludlow</v>
      </c>
    </row>
    <row r="51" spans="2:12" x14ac:dyDescent="0.25">
      <c r="B51" s="30">
        <f>--ISNUMBER(IFERROR(SEARCH(Quote!$G$1,A51,1),""))</f>
        <v>0</v>
      </c>
      <c r="C51" s="30" t="str">
        <f>IF(B51=1,COUNTIF($B$1:B51,1),"")</f>
        <v/>
      </c>
      <c r="D51" s="30" t="str">
        <f>IFERROR(INDEX($A$1:$A$10,MATCH(ROWS($C$1:C51),$C$1:$C$10,0)),"")</f>
        <v/>
      </c>
      <c r="F51" s="30">
        <f>--ISNUMBER(IFERROR(SEARCH(Quote!$G$1,E51,1),""))</f>
        <v>0</v>
      </c>
      <c r="G51" s="30" t="str">
        <f>IF(F51=1,COUNTIF($F$1:F51,1),"")</f>
        <v/>
      </c>
      <c r="H51" s="30" t="str">
        <f>IFERROR(INDEX($E$1:$E$15,MATCH(ROWS($G$1:G51),$G$1:$G$15,0)),"")</f>
        <v/>
      </c>
      <c r="I51" s="5" t="s">
        <v>78</v>
      </c>
      <c r="J51" s="30">
        <f>--ISNUMBER(IFERROR(SEARCH(Quote!$G$1,I51,1),""))</f>
        <v>1</v>
      </c>
      <c r="K51" s="30">
        <f>IF(J51=1,COUNTIF($J$1:J51,1),"")</f>
        <v>51</v>
      </c>
      <c r="L51" s="30" t="str">
        <f>IFERROR(INDEX($I$1:$I$500,MATCH(ROWS($K$1:K51),$K$1:$K$500,0)),"")</f>
        <v>Flaman</v>
      </c>
    </row>
    <row r="52" spans="2:12" x14ac:dyDescent="0.25">
      <c r="B52" s="30">
        <f>--ISNUMBER(IFERROR(SEARCH(Quote!$G$1,A52,1),""))</f>
        <v>0</v>
      </c>
      <c r="C52" s="30" t="str">
        <f>IF(B52=1,COUNTIF($B$1:B52,1),"")</f>
        <v/>
      </c>
      <c r="D52" s="30" t="str">
        <f>IFERROR(INDEX($A$1:$A$10,MATCH(ROWS($C$1:C52),$C$1:$C$10,0)),"")</f>
        <v/>
      </c>
      <c r="F52" s="30">
        <f>--ISNUMBER(IFERROR(SEARCH(Quote!$G$1,E52,1),""))</f>
        <v>0</v>
      </c>
      <c r="G52" s="30" t="str">
        <f>IF(F52=1,COUNTIF($F$1:F52,1),"")</f>
        <v/>
      </c>
      <c r="H52" s="30" t="str">
        <f>IFERROR(INDEX($E$1:$E$15,MATCH(ROWS($G$1:G52),$G$1:$G$15,0)),"")</f>
        <v/>
      </c>
      <c r="I52" s="5" t="s">
        <v>79</v>
      </c>
      <c r="J52" s="30">
        <f>--ISNUMBER(IFERROR(SEARCH(Quote!$G$1,I52,1),""))</f>
        <v>1</v>
      </c>
      <c r="K52" s="30">
        <f>IF(J52=1,COUNTIF($J$1:J52,1),"")</f>
        <v>52</v>
      </c>
      <c r="L52" s="30" t="str">
        <f>IFERROR(INDEX($I$1:$I$500,MATCH(ROWS($K$1:K52),$K$1:$K$500,0)),"")</f>
        <v>Fort Gary Fire Trucks</v>
      </c>
    </row>
    <row r="53" spans="2:12" x14ac:dyDescent="0.25">
      <c r="B53" s="30">
        <f>--ISNUMBER(IFERROR(SEARCH(Quote!$G$1,A53,1),""))</f>
        <v>0</v>
      </c>
      <c r="C53" s="30" t="str">
        <f>IF(B53=1,COUNTIF($B$1:B53,1),"")</f>
        <v/>
      </c>
      <c r="D53" s="30" t="str">
        <f>IFERROR(INDEX($A$1:$A$10,MATCH(ROWS($C$1:C53),$C$1:$C$10,0)),"")</f>
        <v/>
      </c>
      <c r="F53" s="30">
        <f>--ISNUMBER(IFERROR(SEARCH(Quote!$G$1,E53,1),""))</f>
        <v>0</v>
      </c>
      <c r="G53" s="30" t="str">
        <f>IF(F53=1,COUNTIF($F$1:F53,1),"")</f>
        <v/>
      </c>
      <c r="H53" s="30" t="str">
        <f>IFERROR(INDEX($E$1:$E$15,MATCH(ROWS($G$1:G53),$G$1:$G$15,0)),"")</f>
        <v/>
      </c>
      <c r="I53" s="5" t="s">
        <v>80</v>
      </c>
      <c r="J53" s="30">
        <f>--ISNUMBER(IFERROR(SEARCH(Quote!$G$1,I53,1),""))</f>
        <v>1</v>
      </c>
      <c r="K53" s="30">
        <f>IF(J53=1,COUNTIF($J$1:J53,1),"")</f>
        <v>53</v>
      </c>
      <c r="L53" s="30" t="str">
        <f>IFERROR(INDEX($I$1:$I$500,MATCH(ROWS($K$1:K53),$K$1:$K$500,0)),"")</f>
        <v>Fort Gary Industries</v>
      </c>
    </row>
    <row r="54" spans="2:12" x14ac:dyDescent="0.25">
      <c r="B54" s="30">
        <f>--ISNUMBER(IFERROR(SEARCH(Quote!$G$1,A54,1),""))</f>
        <v>0</v>
      </c>
      <c r="C54" s="30" t="str">
        <f>IF(B54=1,COUNTIF($B$1:B54,1),"")</f>
        <v/>
      </c>
      <c r="D54" s="30" t="str">
        <f>IFERROR(INDEX($A$1:$A$10,MATCH(ROWS($C$1:C54),$C$1:$C$10,0)),"")</f>
        <v/>
      </c>
      <c r="F54" s="30">
        <f>--ISNUMBER(IFERROR(SEARCH(Quote!$G$1,E54,1),""))</f>
        <v>0</v>
      </c>
      <c r="G54" s="30" t="str">
        <f>IF(F54=1,COUNTIF($F$1:F54,1),"")</f>
        <v/>
      </c>
      <c r="H54" s="30" t="str">
        <f>IFERROR(INDEX($E$1:$E$15,MATCH(ROWS($G$1:G54),$G$1:$G$15,0)),"")</f>
        <v/>
      </c>
      <c r="I54" s="5" t="s">
        <v>81</v>
      </c>
      <c r="J54" s="30">
        <f>--ISNUMBER(IFERROR(SEARCH(Quote!$G$1,I54,1),""))</f>
        <v>1</v>
      </c>
      <c r="K54" s="30">
        <f>IF(J54=1,COUNTIF($J$1:J54,1),"")</f>
        <v>54</v>
      </c>
      <c r="L54" s="30" t="str">
        <f>IFERROR(INDEX($I$1:$I$500,MATCH(ROWS($K$1:K54),$K$1:$K$500,0)),"")</f>
        <v>G &amp; R welding(Powder Coating)</v>
      </c>
    </row>
    <row r="55" spans="2:12" x14ac:dyDescent="0.25">
      <c r="B55" s="30">
        <f>--ISNUMBER(IFERROR(SEARCH(Quote!$G$1,A55,1),""))</f>
        <v>0</v>
      </c>
      <c r="C55" s="30" t="str">
        <f>IF(B55=1,COUNTIF($B$1:B55,1),"")</f>
        <v/>
      </c>
      <c r="D55" s="30" t="str">
        <f>IFERROR(INDEX($A$1:$A$10,MATCH(ROWS($C$1:C55),$C$1:$C$10,0)),"")</f>
        <v/>
      </c>
      <c r="F55" s="30">
        <f>--ISNUMBER(IFERROR(SEARCH(Quote!$G$1,E55,1),""))</f>
        <v>0</v>
      </c>
      <c r="G55" s="30" t="str">
        <f>IF(F55=1,COUNTIF($F$1:F55,1),"")</f>
        <v/>
      </c>
      <c r="H55" s="30" t="str">
        <f>IFERROR(INDEX($E$1:$E$15,MATCH(ROWS($G$1:G55),$G$1:$G$15,0)),"")</f>
        <v/>
      </c>
      <c r="I55" s="5" t="s">
        <v>82</v>
      </c>
      <c r="J55" s="30">
        <f>--ISNUMBER(IFERROR(SEARCH(Quote!$G$1,I55,1),""))</f>
        <v>1</v>
      </c>
      <c r="K55" s="30">
        <f>IF(J55=1,COUNTIF($J$1:J55,1),"")</f>
        <v>55</v>
      </c>
      <c r="L55" s="30" t="str">
        <f>IFERROR(INDEX($I$1:$I$500,MATCH(ROWS($K$1:K55),$K$1:$K$500,0)),"")</f>
        <v>Gates</v>
      </c>
    </row>
    <row r="56" spans="2:12" x14ac:dyDescent="0.25">
      <c r="B56" s="30">
        <f>--ISNUMBER(IFERROR(SEARCH(Quote!$G$1,A56,1),""))</f>
        <v>0</v>
      </c>
      <c r="C56" s="30" t="str">
        <f>IF(B56=1,COUNTIF($B$1:B56,1),"")</f>
        <v/>
      </c>
      <c r="D56" s="30" t="str">
        <f>IFERROR(INDEX($A$1:$A$10,MATCH(ROWS($C$1:C56),$C$1:$C$10,0)),"")</f>
        <v/>
      </c>
      <c r="F56" s="30">
        <f>--ISNUMBER(IFERROR(SEARCH(Quote!$G$1,E56,1),""))</f>
        <v>0</v>
      </c>
      <c r="G56" s="30" t="str">
        <f>IF(F56=1,COUNTIF($F$1:F56,1),"")</f>
        <v/>
      </c>
      <c r="H56" s="30" t="str">
        <f>IFERROR(INDEX($E$1:$E$15,MATCH(ROWS($G$1:G56),$G$1:$G$15,0)),"")</f>
        <v/>
      </c>
      <c r="I56" s="5" t="s">
        <v>83</v>
      </c>
      <c r="J56" s="30">
        <f>--ISNUMBER(IFERROR(SEARCH(Quote!$G$1,I56,1),""))</f>
        <v>1</v>
      </c>
      <c r="K56" s="30">
        <f>IF(J56=1,COUNTIF($J$1:J56,1),"")</f>
        <v>56</v>
      </c>
      <c r="L56" s="30" t="str">
        <f>IFERROR(INDEX($I$1:$I$500,MATCH(ROWS($K$1:K56),$K$1:$K$500,0)),"")</f>
        <v>Globe Printers Ltd.</v>
      </c>
    </row>
    <row r="57" spans="2:12" x14ac:dyDescent="0.25">
      <c r="B57" s="30">
        <f>--ISNUMBER(IFERROR(SEARCH(Quote!$G$1,A57,1),""))</f>
        <v>0</v>
      </c>
      <c r="C57" s="30" t="str">
        <f>IF(B57=1,COUNTIF($B$1:B57,1),"")</f>
        <v/>
      </c>
      <c r="D57" s="30" t="str">
        <f>IFERROR(INDEX($A$1:$A$10,MATCH(ROWS($C$1:C57),$C$1:$C$10,0)),"")</f>
        <v/>
      </c>
      <c r="F57" s="30">
        <f>--ISNUMBER(IFERROR(SEARCH(Quote!$G$1,E57,1),""))</f>
        <v>0</v>
      </c>
      <c r="G57" s="30" t="str">
        <f>IF(F57=1,COUNTIF($F$1:F57,1),"")</f>
        <v/>
      </c>
      <c r="H57" s="30" t="str">
        <f>IFERROR(INDEX($E$1:$E$15,MATCH(ROWS($G$1:G57),$G$1:$G$15,0)),"")</f>
        <v/>
      </c>
      <c r="I57" s="5" t="s">
        <v>84</v>
      </c>
      <c r="J57" s="30">
        <f>--ISNUMBER(IFERROR(SEARCH(Quote!$G$1,I57,1),""))</f>
        <v>1</v>
      </c>
      <c r="K57" s="30">
        <f>IF(J57=1,COUNTIF($J$1:J57,1),"")</f>
        <v>57</v>
      </c>
      <c r="L57" s="30" t="str">
        <f>IFERROR(INDEX($I$1:$I$500,MATCH(ROWS($K$1:K57),$K$1:$K$500,0)),"")</f>
        <v>Green Line</v>
      </c>
    </row>
    <row r="58" spans="2:12" x14ac:dyDescent="0.25">
      <c r="B58" s="30">
        <f>--ISNUMBER(IFERROR(SEARCH(Quote!$G$1,A58,1),""))</f>
        <v>0</v>
      </c>
      <c r="C58" s="30" t="str">
        <f>IF(B58=1,COUNTIF($B$1:B58,1),"")</f>
        <v/>
      </c>
      <c r="D58" s="30" t="str">
        <f>IFERROR(INDEX($A$1:$A$10,MATCH(ROWS($C$1:C58),$C$1:$C$10,0)),"")</f>
        <v/>
      </c>
      <c r="F58" s="30">
        <f>--ISNUMBER(IFERROR(SEARCH(Quote!$G$1,E58,1),""))</f>
        <v>0</v>
      </c>
      <c r="G58" s="30" t="str">
        <f>IF(F58=1,COUNTIF($F$1:F58,1),"")</f>
        <v/>
      </c>
      <c r="H58" s="30" t="str">
        <f>IFERROR(INDEX($E$1:$E$15,MATCH(ROWS($G$1:G58),$G$1:$G$15,0)),"")</f>
        <v/>
      </c>
      <c r="I58" s="5" t="s">
        <v>85</v>
      </c>
      <c r="J58" s="30">
        <f>--ISNUMBER(IFERROR(SEARCH(Quote!$G$1,I58,1),""))</f>
        <v>1</v>
      </c>
      <c r="K58" s="30">
        <f>IF(J58=1,COUNTIF($J$1:J58,1),"")</f>
        <v>58</v>
      </c>
      <c r="L58" s="30" t="str">
        <f>IFERROR(INDEX($I$1:$I$500,MATCH(ROWS($K$1:K58),$K$1:$K$500,0)),"")</f>
        <v>Gregg Distributors</v>
      </c>
    </row>
    <row r="59" spans="2:12" x14ac:dyDescent="0.25">
      <c r="B59" s="30">
        <f>--ISNUMBER(IFERROR(SEARCH(Quote!$G$1,A59,1),""))</f>
        <v>0</v>
      </c>
      <c r="C59" s="30" t="str">
        <f>IF(B59=1,COUNTIF($B$1:B59,1),"")</f>
        <v/>
      </c>
      <c r="D59" s="30" t="str">
        <f>IFERROR(INDEX($A$1:$A$10,MATCH(ROWS($C$1:C59),$C$1:$C$10,0)),"")</f>
        <v/>
      </c>
      <c r="F59" s="30">
        <f>--ISNUMBER(IFERROR(SEARCH(Quote!$G$1,E59,1),""))</f>
        <v>0</v>
      </c>
      <c r="G59" s="30" t="str">
        <f>IF(F59=1,COUNTIF($F$1:F59,1),"")</f>
        <v/>
      </c>
      <c r="H59" s="30" t="str">
        <f>IFERROR(INDEX($E$1:$E$15,MATCH(ROWS($G$1:G59),$G$1:$G$15,0)),"")</f>
        <v/>
      </c>
      <c r="I59" s="5" t="s">
        <v>86</v>
      </c>
      <c r="J59" s="30">
        <f>--ISNUMBER(IFERROR(SEARCH(Quote!$G$1,I59,1),""))</f>
        <v>1</v>
      </c>
      <c r="K59" s="30">
        <f>IF(J59=1,COUNTIF($J$1:J59,1),"")</f>
        <v>59</v>
      </c>
      <c r="L59" s="30" t="str">
        <f>IFERROR(INDEX($I$1:$I$500,MATCH(ROWS($K$1:K59),$K$1:$K$500,0)),"")</f>
        <v>Heidenhain</v>
      </c>
    </row>
    <row r="60" spans="2:12" x14ac:dyDescent="0.25">
      <c r="B60" s="30">
        <f>--ISNUMBER(IFERROR(SEARCH(Quote!$G$1,A60,1),""))</f>
        <v>0</v>
      </c>
      <c r="C60" s="30" t="str">
        <f>IF(B60=1,COUNTIF($B$1:B60,1),"")</f>
        <v/>
      </c>
      <c r="D60" s="30" t="str">
        <f>IFERROR(INDEX($A$1:$A$10,MATCH(ROWS($C$1:C60),$C$1:$C$10,0)),"")</f>
        <v/>
      </c>
      <c r="F60" s="30">
        <f>--ISNUMBER(IFERROR(SEARCH(Quote!$G$1,E60,1),""))</f>
        <v>0</v>
      </c>
      <c r="G60" s="30" t="str">
        <f>IF(F60=1,COUNTIF($F$1:F60,1),"")</f>
        <v/>
      </c>
      <c r="H60" s="30" t="str">
        <f>IFERROR(INDEX($E$1:$E$15,MATCH(ROWS($G$1:G60),$G$1:$G$15,0)),"")</f>
        <v/>
      </c>
      <c r="I60" s="5" t="s">
        <v>87</v>
      </c>
      <c r="J60" s="30">
        <f>--ISNUMBER(IFERROR(SEARCH(Quote!$G$1,I60,1),""))</f>
        <v>1</v>
      </c>
      <c r="K60" s="30">
        <f>IF(J60=1,COUNTIF($J$1:J60,1),"")</f>
        <v>60</v>
      </c>
      <c r="L60" s="30" t="str">
        <f>IFERROR(INDEX($I$1:$I$500,MATCH(ROWS($K$1:K60),$K$1:$K$500,0)),"")</f>
        <v xml:space="preserve">Hilti </v>
      </c>
    </row>
    <row r="61" spans="2:12" x14ac:dyDescent="0.25">
      <c r="B61" s="30">
        <f>--ISNUMBER(IFERROR(SEARCH(Quote!$G$1,A61,1),""))</f>
        <v>0</v>
      </c>
      <c r="C61" s="30" t="str">
        <f>IF(B61=1,COUNTIF($B$1:B61,1),"")</f>
        <v/>
      </c>
      <c r="D61" s="30" t="str">
        <f>IFERROR(INDEX($A$1:$A$10,MATCH(ROWS($C$1:C61),$C$1:$C$10,0)),"")</f>
        <v/>
      </c>
      <c r="F61" s="30">
        <f>--ISNUMBER(IFERROR(SEARCH(Quote!$G$1,E61,1),""))</f>
        <v>0</v>
      </c>
      <c r="G61" s="30" t="str">
        <f>IF(F61=1,COUNTIF($F$1:F61,1),"")</f>
        <v/>
      </c>
      <c r="H61" s="30" t="str">
        <f>IFERROR(INDEX($E$1:$E$15,MATCH(ROWS($G$1:G61),$G$1:$G$15,0)),"")</f>
        <v/>
      </c>
      <c r="I61" s="5" t="s">
        <v>88</v>
      </c>
      <c r="J61" s="30">
        <f>--ISNUMBER(IFERROR(SEARCH(Quote!$G$1,I61,1),""))</f>
        <v>1</v>
      </c>
      <c r="K61" s="30">
        <f>IF(J61=1,COUNTIF($J$1:J61,1),"")</f>
        <v>61</v>
      </c>
      <c r="L61" s="30" t="str">
        <f>IFERROR(INDEX($I$1:$I$500,MATCH(ROWS($K$1:K61),$K$1:$K$500,0)),"")</f>
        <v>Home Depot</v>
      </c>
    </row>
    <row r="62" spans="2:12" x14ac:dyDescent="0.25">
      <c r="B62" s="30">
        <f>--ISNUMBER(IFERROR(SEARCH(Quote!$G$1,A62,1),""))</f>
        <v>0</v>
      </c>
      <c r="C62" s="30" t="str">
        <f>IF(B62=1,COUNTIF($B$1:B62,1),"")</f>
        <v/>
      </c>
      <c r="D62" s="30" t="str">
        <f>IFERROR(INDEX($A$1:$A$10,MATCH(ROWS($C$1:C62),$C$1:$C$10,0)),"")</f>
        <v/>
      </c>
      <c r="F62" s="30">
        <f>--ISNUMBER(IFERROR(SEARCH(Quote!$G$1,E62,1),""))</f>
        <v>0</v>
      </c>
      <c r="G62" s="30" t="str">
        <f>IF(F62=1,COUNTIF($F$1:F62,1),"")</f>
        <v/>
      </c>
      <c r="H62" s="30" t="str">
        <f>IFERROR(INDEX($E$1:$E$15,MATCH(ROWS($G$1:G62),$G$1:$G$15,0)),"")</f>
        <v/>
      </c>
      <c r="I62" s="5" t="s">
        <v>89</v>
      </c>
      <c r="J62" s="30">
        <f>--ISNUMBER(IFERROR(SEARCH(Quote!$G$1,I62,1),""))</f>
        <v>1</v>
      </c>
      <c r="K62" s="30">
        <f>IF(J62=1,COUNTIF($J$1:J62,1),"")</f>
        <v>62</v>
      </c>
      <c r="L62" s="30" t="str">
        <f>IFERROR(INDEX($I$1:$I$500,MATCH(ROWS($K$1:K62),$K$1:$K$500,0)),"")</f>
        <v>HyPower Systems</v>
      </c>
    </row>
    <row r="63" spans="2:12" x14ac:dyDescent="0.25">
      <c r="B63" s="30">
        <f>--ISNUMBER(IFERROR(SEARCH(Quote!$G$1,A63,1),""))</f>
        <v>0</v>
      </c>
      <c r="C63" s="30" t="str">
        <f>IF(B63=1,COUNTIF($B$1:B63,1),"")</f>
        <v/>
      </c>
      <c r="D63" s="30" t="str">
        <f>IFERROR(INDEX($A$1:$A$10,MATCH(ROWS($C$1:C63),$C$1:$C$10,0)),"")</f>
        <v/>
      </c>
      <c r="F63" s="30">
        <f>--ISNUMBER(IFERROR(SEARCH(Quote!$G$1,E63,1),""))</f>
        <v>0</v>
      </c>
      <c r="G63" s="30" t="str">
        <f>IF(F63=1,COUNTIF($F$1:F63,1),"")</f>
        <v/>
      </c>
      <c r="H63" s="30" t="str">
        <f>IFERROR(INDEX($E$1:$E$15,MATCH(ROWS($G$1:G63),$G$1:$G$15,0)),"")</f>
        <v/>
      </c>
      <c r="I63" s="5" t="s">
        <v>90</v>
      </c>
      <c r="J63" s="30">
        <f>--ISNUMBER(IFERROR(SEARCH(Quote!$G$1,I63,1),""))</f>
        <v>1</v>
      </c>
      <c r="K63" s="30">
        <f>IF(J63=1,COUNTIF($J$1:J63,1),"")</f>
        <v>63</v>
      </c>
      <c r="L63" s="30" t="str">
        <f>IFERROR(INDEX($I$1:$I$500,MATCH(ROWS($K$1:K63),$K$1:$K$500,0)),"")</f>
        <v>HyPower Systems (Shop)</v>
      </c>
    </row>
    <row r="64" spans="2:12" x14ac:dyDescent="0.25">
      <c r="B64" s="30">
        <f>--ISNUMBER(IFERROR(SEARCH(Quote!$G$1,A64,1),""))</f>
        <v>0</v>
      </c>
      <c r="C64" s="30" t="str">
        <f>IF(B64=1,COUNTIF($B$1:B64,1),"")</f>
        <v/>
      </c>
      <c r="D64" s="30" t="str">
        <f>IFERROR(INDEX($A$1:$A$10,MATCH(ROWS($C$1:C64),$C$1:$C$10,0)),"")</f>
        <v/>
      </c>
      <c r="F64" s="30">
        <f>--ISNUMBER(IFERROR(SEARCH(Quote!$G$1,E64,1),""))</f>
        <v>0</v>
      </c>
      <c r="G64" s="30" t="str">
        <f>IF(F64=1,COUNTIF($F$1:F64,1),"")</f>
        <v/>
      </c>
      <c r="H64" s="30" t="str">
        <f>IFERROR(INDEX($E$1:$E$15,MATCH(ROWS($G$1:G64),$G$1:$G$15,0)),"")</f>
        <v/>
      </c>
      <c r="I64" s="5" t="s">
        <v>91</v>
      </c>
      <c r="J64" s="30">
        <f>--ISNUMBER(IFERROR(SEARCH(Quote!$G$1,I64,1),""))</f>
        <v>1</v>
      </c>
      <c r="K64" s="30">
        <f>IF(J64=1,COUNTIF($J$1:J64,1),"")</f>
        <v>64</v>
      </c>
      <c r="L64" s="30" t="str">
        <f>IFERROR(INDEX($I$1:$I$500,MATCH(ROWS($K$1:K64),$K$1:$K$500,0)),"")</f>
        <v>Igus</v>
      </c>
    </row>
    <row r="65" spans="2:12" x14ac:dyDescent="0.25">
      <c r="B65" s="30">
        <f>--ISNUMBER(IFERROR(SEARCH(Quote!$G$1,A65,1),""))</f>
        <v>0</v>
      </c>
      <c r="C65" s="30" t="str">
        <f>IF(B65=1,COUNTIF($B$1:B65,1),"")</f>
        <v/>
      </c>
      <c r="D65" s="30" t="str">
        <f>IFERROR(INDEX($A$1:$A$10,MATCH(ROWS($C$1:C65),$C$1:$C$10,0)),"")</f>
        <v/>
      </c>
      <c r="F65" s="30">
        <f>--ISNUMBER(IFERROR(SEARCH(Quote!$G$1,E65,1),""))</f>
        <v>0</v>
      </c>
      <c r="G65" s="30" t="str">
        <f>IF(F65=1,COUNTIF($F$1:F65,1),"")</f>
        <v/>
      </c>
      <c r="H65" s="30" t="str">
        <f>IFERROR(INDEX($E$1:$E$15,MATCH(ROWS($G$1:G65),$G$1:$G$15,0)),"")</f>
        <v/>
      </c>
      <c r="I65" s="5" t="s">
        <v>92</v>
      </c>
      <c r="J65" s="30">
        <f>--ISNUMBER(IFERROR(SEARCH(Quote!$G$1,I65,1),""))</f>
        <v>1</v>
      </c>
      <c r="K65" s="30">
        <f>IF(J65=1,COUNTIF($J$1:J65,1),"")</f>
        <v>65</v>
      </c>
      <c r="L65" s="30" t="str">
        <f>IFERROR(INDEX($I$1:$I$500,MATCH(ROWS($K$1:K65),$K$1:$K$500,0)),"")</f>
        <v>Imaginit (Autodesk)</v>
      </c>
    </row>
    <row r="66" spans="2:12" x14ac:dyDescent="0.25">
      <c r="B66" s="30">
        <f>--ISNUMBER(IFERROR(SEARCH(Quote!$G$1,A66,1),""))</f>
        <v>0</v>
      </c>
      <c r="C66" s="30" t="str">
        <f>IF(B66=1,COUNTIF($B$1:B66,1),"")</f>
        <v/>
      </c>
      <c r="D66" s="30" t="str">
        <f>IFERROR(INDEX($A$1:$A$10,MATCH(ROWS($C$1:C66),$C$1:$C$10,0)),"")</f>
        <v/>
      </c>
      <c r="F66" s="30">
        <f>--ISNUMBER(IFERROR(SEARCH(Quote!$G$1,E66,1),""))</f>
        <v>0</v>
      </c>
      <c r="G66" s="30" t="str">
        <f>IF(F66=1,COUNTIF($F$1:F66,1),"")</f>
        <v/>
      </c>
      <c r="H66" s="30" t="str">
        <f>IFERROR(INDEX($E$1:$E$15,MATCH(ROWS($G$1:G66),$G$1:$G$15,0)),"")</f>
        <v/>
      </c>
      <c r="I66" s="5" t="s">
        <v>93</v>
      </c>
      <c r="J66" s="30">
        <f>--ISNUMBER(IFERROR(SEARCH(Quote!$G$1,I66,1),""))</f>
        <v>1</v>
      </c>
      <c r="K66" s="30">
        <f>IF(J66=1,COUNTIF($J$1:J66,1),"")</f>
        <v>66</v>
      </c>
      <c r="L66" s="30" t="str">
        <f>IFERROR(INDEX($I$1:$I$500,MATCH(ROWS($K$1:K66),$K$1:$K$500,0)),"")</f>
        <v>Inland Steel</v>
      </c>
    </row>
    <row r="67" spans="2:12" x14ac:dyDescent="0.25">
      <c r="B67" s="30">
        <f>--ISNUMBER(IFERROR(SEARCH(Quote!$G$1,A67,1),""))</f>
        <v>0</v>
      </c>
      <c r="C67" s="30" t="str">
        <f>IF(B67=1,COUNTIF($B$1:B67,1),"")</f>
        <v/>
      </c>
      <c r="D67" s="30" t="str">
        <f>IFERROR(INDEX($A$1:$A$10,MATCH(ROWS($C$1:C67),$C$1:$C$10,0)),"")</f>
        <v/>
      </c>
      <c r="F67" s="30">
        <f>--ISNUMBER(IFERROR(SEARCH(Quote!$G$1,E67,1),""))</f>
        <v>0</v>
      </c>
      <c r="G67" s="30" t="str">
        <f>IF(F67=1,COUNTIF($F$1:F67,1),"")</f>
        <v/>
      </c>
      <c r="H67" s="30" t="str">
        <f>IFERROR(INDEX($E$1:$E$15,MATCH(ROWS($G$1:G67),$G$1:$G$15,0)),"")</f>
        <v/>
      </c>
      <c r="I67" s="5" t="s">
        <v>94</v>
      </c>
      <c r="J67" s="30">
        <f>--ISNUMBER(IFERROR(SEARCH(Quote!$G$1,I67,1),""))</f>
        <v>1</v>
      </c>
      <c r="K67" s="30">
        <f>IF(J67=1,COUNTIF($J$1:J67,1),"")</f>
        <v>67</v>
      </c>
      <c r="L67" s="30" t="str">
        <f>IFERROR(INDEX($I$1:$I$500,MATCH(ROWS($K$1:K67),$K$1:$K$500,0)),"")</f>
        <v>International Cordage</v>
      </c>
    </row>
    <row r="68" spans="2:12" x14ac:dyDescent="0.25">
      <c r="B68" s="30">
        <f>--ISNUMBER(IFERROR(SEARCH(Quote!$G$1,A68,1),""))</f>
        <v>0</v>
      </c>
      <c r="C68" s="30" t="str">
        <f>IF(B68=1,COUNTIF($B$1:B68,1),"")</f>
        <v/>
      </c>
      <c r="D68" s="30" t="str">
        <f>IFERROR(INDEX($A$1:$A$10,MATCH(ROWS($C$1:C68),$C$1:$C$10,0)),"")</f>
        <v/>
      </c>
      <c r="F68" s="30">
        <f>--ISNUMBER(IFERROR(SEARCH(Quote!$G$1,E68,1),""))</f>
        <v>0</v>
      </c>
      <c r="G68" s="30" t="str">
        <f>IF(F68=1,COUNTIF($F$1:F68,1),"")</f>
        <v/>
      </c>
      <c r="H68" s="30" t="str">
        <f>IFERROR(INDEX($E$1:$E$15,MATCH(ROWS($G$1:G68),$G$1:$G$15,0)),"")</f>
        <v/>
      </c>
      <c r="I68" s="5" t="s">
        <v>95</v>
      </c>
      <c r="J68" s="30">
        <f>--ISNUMBER(IFERROR(SEARCH(Quote!$G$1,I68,1),""))</f>
        <v>1</v>
      </c>
      <c r="K68" s="30">
        <f>IF(J68=1,COUNTIF($J$1:J68,1),"")</f>
        <v>68</v>
      </c>
      <c r="L68" s="30" t="str">
        <f>IFERROR(INDEX($I$1:$I$500,MATCH(ROWS($K$1:K68),$K$1:$K$500,0)),"")</f>
        <v>International Paint</v>
      </c>
    </row>
    <row r="69" spans="2:12" x14ac:dyDescent="0.25">
      <c r="B69" s="30">
        <f>--ISNUMBER(IFERROR(SEARCH(Quote!$G$1,A69,1),""))</f>
        <v>0</v>
      </c>
      <c r="C69" s="30" t="str">
        <f>IF(B69=1,COUNTIF($B$1:B69,1),"")</f>
        <v/>
      </c>
      <c r="D69" s="30" t="str">
        <f>IFERROR(INDEX($A$1:$A$10,MATCH(ROWS($C$1:C69),$C$1:$C$10,0)),"")</f>
        <v/>
      </c>
      <c r="F69" s="30">
        <f>--ISNUMBER(IFERROR(SEARCH(Quote!$G$1,E69,1),""))</f>
        <v>0</v>
      </c>
      <c r="G69" s="30" t="str">
        <f>IF(F69=1,COUNTIF($F$1:F69,1),"")</f>
        <v/>
      </c>
      <c r="H69" s="30" t="str">
        <f>IFERROR(INDEX($E$1:$E$15,MATCH(ROWS($G$1:G69),$G$1:$G$15,0)),"")</f>
        <v/>
      </c>
      <c r="I69" s="5" t="s">
        <v>96</v>
      </c>
      <c r="J69" s="30">
        <f>--ISNUMBER(IFERROR(SEARCH(Quote!$G$1,I69,1),""))</f>
        <v>1</v>
      </c>
      <c r="K69" s="30">
        <f>IF(J69=1,COUNTIF($J$1:J69,1),"")</f>
        <v>69</v>
      </c>
      <c r="L69" s="30" t="str">
        <f>IFERROR(INDEX($I$1:$I$500,MATCH(ROWS($K$1:K69),$K$1:$K$500,0)),"")</f>
        <v>Jalberts Propane</v>
      </c>
    </row>
    <row r="70" spans="2:12" x14ac:dyDescent="0.25">
      <c r="B70" s="30">
        <f>--ISNUMBER(IFERROR(SEARCH(Quote!$G$1,A70,1),""))</f>
        <v>0</v>
      </c>
      <c r="C70" s="30" t="str">
        <f>IF(B70=1,COUNTIF($B$1:B70,1),"")</f>
        <v/>
      </c>
      <c r="D70" s="30" t="str">
        <f>IFERROR(INDEX($A$1:$A$10,MATCH(ROWS($C$1:C70),$C$1:$C$10,0)),"")</f>
        <v/>
      </c>
      <c r="F70" s="30">
        <f>--ISNUMBER(IFERROR(SEARCH(Quote!$G$1,E70,1),""))</f>
        <v>0</v>
      </c>
      <c r="G70" s="30" t="str">
        <f>IF(F70=1,COUNTIF($F$1:F70,1),"")</f>
        <v/>
      </c>
      <c r="H70" s="30" t="str">
        <f>IFERROR(INDEX($E$1:$E$15,MATCH(ROWS($G$1:G70),$G$1:$G$15,0)),"")</f>
        <v/>
      </c>
      <c r="I70" s="5" t="s">
        <v>97</v>
      </c>
      <c r="J70" s="30">
        <f>--ISNUMBER(IFERROR(SEARCH(Quote!$G$1,I70,1),""))</f>
        <v>1</v>
      </c>
      <c r="K70" s="30">
        <f>IF(J70=1,COUNTIF($J$1:J70,1),"")</f>
        <v>70</v>
      </c>
      <c r="L70" s="30" t="str">
        <f>IFERROR(INDEX($I$1:$I$500,MATCH(ROWS($K$1:K70),$K$1:$K$500,0)),"")</f>
        <v>Jaltronix Technologies</v>
      </c>
    </row>
    <row r="71" spans="2:12" x14ac:dyDescent="0.25">
      <c r="B71" s="30">
        <f>--ISNUMBER(IFERROR(SEARCH(Quote!$G$1,A71,1),""))</f>
        <v>0</v>
      </c>
      <c r="C71" s="30" t="str">
        <f>IF(B71=1,COUNTIF($B$1:B71,1),"")</f>
        <v/>
      </c>
      <c r="D71" s="30" t="str">
        <f>IFERROR(INDEX($A$1:$A$10,MATCH(ROWS($C$1:C71),$C$1:$C$10,0)),"")</f>
        <v/>
      </c>
      <c r="F71" s="30">
        <f>--ISNUMBER(IFERROR(SEARCH(Quote!$G$1,E71,1),""))</f>
        <v>0</v>
      </c>
      <c r="G71" s="30" t="str">
        <f>IF(F71=1,COUNTIF($F$1:F71,1),"")</f>
        <v/>
      </c>
      <c r="H71" s="30" t="str">
        <f>IFERROR(INDEX($E$1:$E$15,MATCH(ROWS($G$1:G71),$G$1:$G$15,0)),"")</f>
        <v/>
      </c>
      <c r="I71" s="5" t="s">
        <v>98</v>
      </c>
      <c r="J71" s="30">
        <f>--ISNUMBER(IFERROR(SEARCH(Quote!$G$1,I71,1),""))</f>
        <v>1</v>
      </c>
      <c r="K71" s="30">
        <f>IF(J71=1,COUNTIF($J$1:J71,1),"")</f>
        <v>71</v>
      </c>
      <c r="L71" s="30" t="str">
        <f>IFERROR(INDEX($I$1:$I$500,MATCH(ROWS($K$1:K71),$K$1:$K$500,0)),"")</f>
        <v>JNE</v>
      </c>
    </row>
    <row r="72" spans="2:12" x14ac:dyDescent="0.25">
      <c r="B72" s="30">
        <f>--ISNUMBER(IFERROR(SEARCH(Quote!$G$1,A72,1),""))</f>
        <v>0</v>
      </c>
      <c r="C72" s="30" t="str">
        <f>IF(B72=1,COUNTIF($B$1:B72,1),"")</f>
        <v/>
      </c>
      <c r="D72" s="30" t="str">
        <f>IFERROR(INDEX($A$1:$A$10,MATCH(ROWS($C$1:C72),$C$1:$C$10,0)),"")</f>
        <v/>
      </c>
      <c r="F72" s="30">
        <f>--ISNUMBER(IFERROR(SEARCH(Quote!$G$1,E72,1),""))</f>
        <v>0</v>
      </c>
      <c r="G72" s="30" t="str">
        <f>IF(F72=1,COUNTIF($F$1:F72,1),"")</f>
        <v/>
      </c>
      <c r="H72" s="30" t="str">
        <f>IFERROR(INDEX($E$1:$E$15,MATCH(ROWS($G$1:G72),$G$1:$G$15,0)),"")</f>
        <v/>
      </c>
      <c r="I72" s="5" t="s">
        <v>99</v>
      </c>
      <c r="J72" s="30">
        <f>--ISNUMBER(IFERROR(SEARCH(Quote!$G$1,I72,1),""))</f>
        <v>1</v>
      </c>
      <c r="K72" s="30">
        <f>IF(J72=1,COUNTIF($J$1:J72,1),"")</f>
        <v>72</v>
      </c>
      <c r="L72" s="30" t="str">
        <f>IFERROR(INDEX($I$1:$I$500,MATCH(ROWS($K$1:K72),$K$1:$K$500,0)),"")</f>
        <v>Johnston Industrial Plastics</v>
      </c>
    </row>
    <row r="73" spans="2:12" x14ac:dyDescent="0.25">
      <c r="B73" s="30">
        <f>--ISNUMBER(IFERROR(SEARCH(Quote!$G$1,A73,1),""))</f>
        <v>0</v>
      </c>
      <c r="C73" s="30" t="str">
        <f>IF(B73=1,COUNTIF($B$1:B73,1),"")</f>
        <v/>
      </c>
      <c r="D73" s="30" t="str">
        <f>IFERROR(INDEX($A$1:$A$10,MATCH(ROWS($C$1:C73),$C$1:$C$10,0)),"")</f>
        <v/>
      </c>
      <c r="F73" s="30">
        <f>--ISNUMBER(IFERROR(SEARCH(Quote!$G$1,E73,1),""))</f>
        <v>0</v>
      </c>
      <c r="G73" s="30" t="str">
        <f>IF(F73=1,COUNTIF($F$1:F73,1),"")</f>
        <v/>
      </c>
      <c r="H73" s="30" t="str">
        <f>IFERROR(INDEX($E$1:$E$15,MATCH(ROWS($G$1:G73),$G$1:$G$15,0)),"")</f>
        <v/>
      </c>
      <c r="I73" s="5" t="s">
        <v>100</v>
      </c>
      <c r="J73" s="30">
        <f>--ISNUMBER(IFERROR(SEARCH(Quote!$G$1,I73,1),""))</f>
        <v>1</v>
      </c>
      <c r="K73" s="30">
        <f>IF(J73=1,COUNTIF($J$1:J73,1),"")</f>
        <v>73</v>
      </c>
      <c r="L73" s="30" t="str">
        <f>IFERROR(INDEX($I$1:$I$500,MATCH(ROWS($K$1:K73),$K$1:$K$500,0)),"")</f>
        <v>Kaller(Gas Spring Systems of Canada)</v>
      </c>
    </row>
    <row r="74" spans="2:12" x14ac:dyDescent="0.25">
      <c r="B74" s="30">
        <f>--ISNUMBER(IFERROR(SEARCH(Quote!$G$1,A74,1),""))</f>
        <v>0</v>
      </c>
      <c r="C74" s="30" t="str">
        <f>IF(B74=1,COUNTIF($B$1:B74,1),"")</f>
        <v/>
      </c>
      <c r="D74" s="30" t="str">
        <f>IFERROR(INDEX($A$1:$A$10,MATCH(ROWS($C$1:C74),$C$1:$C$10,0)),"")</f>
        <v/>
      </c>
      <c r="F74" s="30">
        <f>--ISNUMBER(IFERROR(SEARCH(Quote!$G$1,E74,1),""))</f>
        <v>0</v>
      </c>
      <c r="G74" s="30" t="str">
        <f>IF(F74=1,COUNTIF($F$1:F74,1),"")</f>
        <v/>
      </c>
      <c r="H74" s="30" t="str">
        <f>IFERROR(INDEX($E$1:$E$15,MATCH(ROWS($G$1:G74),$G$1:$G$15,0)),"")</f>
        <v/>
      </c>
      <c r="I74" s="5" t="s">
        <v>101</v>
      </c>
      <c r="J74" s="30">
        <f>--ISNUMBER(IFERROR(SEARCH(Quote!$G$1,I74,1),""))</f>
        <v>1</v>
      </c>
      <c r="K74" s="30">
        <f>IF(J74=1,COUNTIF($J$1:J74,1),"")</f>
        <v>74</v>
      </c>
      <c r="L74" s="30" t="str">
        <f>IFERROR(INDEX($I$1:$I$500,MATCH(ROWS($K$1:K74),$K$1:$K$500,0)),"")</f>
        <v>Kinecor</v>
      </c>
    </row>
    <row r="75" spans="2:12" x14ac:dyDescent="0.25">
      <c r="B75" s="30">
        <f>--ISNUMBER(IFERROR(SEARCH(Quote!$G$1,A75,1),""))</f>
        <v>0</v>
      </c>
      <c r="C75" s="30" t="str">
        <f>IF(B75=1,COUNTIF($B$1:B75,1),"")</f>
        <v/>
      </c>
      <c r="D75" s="30" t="str">
        <f>IFERROR(INDEX($A$1:$A$10,MATCH(ROWS($C$1:C75),$C$1:$C$10,0)),"")</f>
        <v/>
      </c>
      <c r="F75" s="30">
        <f>--ISNUMBER(IFERROR(SEARCH(Quote!$G$1,E75,1),""))</f>
        <v>0</v>
      </c>
      <c r="G75" s="30" t="str">
        <f>IF(F75=1,COUNTIF($F$1:F75,1),"")</f>
        <v/>
      </c>
      <c r="H75" s="30" t="str">
        <f>IFERROR(INDEX($E$1:$E$15,MATCH(ROWS($G$1:G75),$G$1:$G$15,0)),"")</f>
        <v/>
      </c>
      <c r="I75" s="5" t="s">
        <v>102</v>
      </c>
      <c r="J75" s="30">
        <f>--ISNUMBER(IFERROR(SEARCH(Quote!$G$1,I75,1),""))</f>
        <v>1</v>
      </c>
      <c r="K75" s="30">
        <f>IF(J75=1,COUNTIF($J$1:J75,1),"")</f>
        <v>75</v>
      </c>
      <c r="L75" s="30" t="str">
        <f>IFERROR(INDEX($I$1:$I$500,MATCH(ROWS($K$1:K75),$K$1:$K$500,0)),"")</f>
        <v>Kinematics Mfg.n Inc.</v>
      </c>
    </row>
    <row r="76" spans="2:12" x14ac:dyDescent="0.25">
      <c r="B76" s="30">
        <f>--ISNUMBER(IFERROR(SEARCH(Quote!$G$1,A76,1),""))</f>
        <v>0</v>
      </c>
      <c r="C76" s="30" t="str">
        <f>IF(B76=1,COUNTIF($B$1:B76,1),"")</f>
        <v/>
      </c>
      <c r="D76" s="30" t="str">
        <f>IFERROR(INDEX($A$1:$A$10,MATCH(ROWS($C$1:C76),$C$1:$C$10,0)),"")</f>
        <v/>
      </c>
      <c r="F76" s="30">
        <f>--ISNUMBER(IFERROR(SEARCH(Quote!$G$1,E76,1),""))</f>
        <v>0</v>
      </c>
      <c r="G76" s="30" t="str">
        <f>IF(F76=1,COUNTIF($F$1:F76,1),"")</f>
        <v/>
      </c>
      <c r="H76" s="30" t="str">
        <f>IFERROR(INDEX($E$1:$E$15,MATCH(ROWS($G$1:G76),$G$1:$G$15,0)),"")</f>
        <v/>
      </c>
      <c r="I76" s="5" t="s">
        <v>103</v>
      </c>
      <c r="J76" s="30">
        <f>--ISNUMBER(IFERROR(SEARCH(Quote!$G$1,I76,1),""))</f>
        <v>1</v>
      </c>
      <c r="K76" s="30">
        <f>IF(J76=1,COUNTIF($J$1:J76,1),"")</f>
        <v>76</v>
      </c>
      <c r="L76" s="30" t="str">
        <f>IFERROR(INDEX($I$1:$I$500,MATCH(ROWS($K$1:K76),$K$1:$K$500,0)),"")</f>
        <v xml:space="preserve">Klassen Electric Motor </v>
      </c>
    </row>
    <row r="77" spans="2:12" x14ac:dyDescent="0.25">
      <c r="B77" s="30">
        <f>--ISNUMBER(IFERROR(SEARCH(Quote!$G$1,A77,1),""))</f>
        <v>0</v>
      </c>
      <c r="C77" s="30" t="str">
        <f>IF(B77=1,COUNTIF($B$1:B77,1),"")</f>
        <v/>
      </c>
      <c r="D77" s="30" t="str">
        <f>IFERROR(INDEX($A$1:$A$10,MATCH(ROWS($C$1:C77),$C$1:$C$10,0)),"")</f>
        <v/>
      </c>
      <c r="F77" s="30">
        <f>--ISNUMBER(IFERROR(SEARCH(Quote!$G$1,E77,1),""))</f>
        <v>0</v>
      </c>
      <c r="G77" s="30" t="str">
        <f>IF(F77=1,COUNTIF($F$1:F77,1),"")</f>
        <v/>
      </c>
      <c r="H77" s="30" t="str">
        <f>IFERROR(INDEX($E$1:$E$15,MATCH(ROWS($G$1:G77),$G$1:$G$15,0)),"")</f>
        <v/>
      </c>
      <c r="I77" s="5" t="s">
        <v>104</v>
      </c>
      <c r="J77" s="30">
        <f>--ISNUMBER(IFERROR(SEARCH(Quote!$G$1,I77,1),""))</f>
        <v>1</v>
      </c>
      <c r="K77" s="30">
        <f>IF(J77=1,COUNTIF($J$1:J77,1),"")</f>
        <v>77</v>
      </c>
      <c r="L77" s="30" t="str">
        <f>IFERROR(INDEX($I$1:$I$500,MATCH(ROWS($K$1:K77),$K$1:$K$500,0)),"")</f>
        <v>Konecranes</v>
      </c>
    </row>
    <row r="78" spans="2:12" x14ac:dyDescent="0.25">
      <c r="B78" s="30">
        <f>--ISNUMBER(IFERROR(SEARCH(Quote!$G$1,A78,1),""))</f>
        <v>0</v>
      </c>
      <c r="C78" s="30" t="str">
        <f>IF(B78=1,COUNTIF($B$1:B78,1),"")</f>
        <v/>
      </c>
      <c r="D78" s="30" t="str">
        <f>IFERROR(INDEX($A$1:$A$10,MATCH(ROWS($C$1:C78),$C$1:$C$10,0)),"")</f>
        <v/>
      </c>
      <c r="F78" s="30">
        <f>--ISNUMBER(IFERROR(SEARCH(Quote!$G$1,E78,1),""))</f>
        <v>0</v>
      </c>
      <c r="G78" s="30" t="str">
        <f>IF(F78=1,COUNTIF($F$1:F78,1),"")</f>
        <v/>
      </c>
      <c r="H78" s="30" t="str">
        <f>IFERROR(INDEX($E$1:$E$15,MATCH(ROWS($G$1:G78),$G$1:$G$15,0)),"")</f>
        <v/>
      </c>
      <c r="I78" s="5" t="s">
        <v>105</v>
      </c>
      <c r="J78" s="30">
        <f>--ISNUMBER(IFERROR(SEARCH(Quote!$G$1,I78,1),""))</f>
        <v>1</v>
      </c>
      <c r="K78" s="30">
        <f>IF(J78=1,COUNTIF($J$1:J78,1),"")</f>
        <v>78</v>
      </c>
      <c r="L78" s="30" t="str">
        <f>IFERROR(INDEX($I$1:$I$500,MATCH(ROWS($K$1:K78),$K$1:$K$500,0)),"")</f>
        <v>KVA Dynamo</v>
      </c>
    </row>
    <row r="79" spans="2:12" x14ac:dyDescent="0.25">
      <c r="B79" s="30">
        <f>--ISNUMBER(IFERROR(SEARCH(Quote!$G$1,A79,1),""))</f>
        <v>0</v>
      </c>
      <c r="C79" s="30" t="str">
        <f>IF(B79=1,COUNTIF($B$1:B79,1),"")</f>
        <v/>
      </c>
      <c r="D79" s="30" t="str">
        <f>IFERROR(INDEX($A$1:$A$10,MATCH(ROWS($C$1:C79),$C$1:$C$10,0)),"")</f>
        <v/>
      </c>
      <c r="F79" s="30">
        <f>--ISNUMBER(IFERROR(SEARCH(Quote!$G$1,E79,1),""))</f>
        <v>0</v>
      </c>
      <c r="G79" s="30" t="str">
        <f>IF(F79=1,COUNTIF($F$1:F79,1),"")</f>
        <v/>
      </c>
      <c r="H79" s="30" t="str">
        <f>IFERROR(INDEX($E$1:$E$15,MATCH(ROWS($G$1:G79),$G$1:$G$15,0)),"")</f>
        <v/>
      </c>
      <c r="I79" s="5" t="s">
        <v>106</v>
      </c>
      <c r="J79" s="30">
        <f>--ISNUMBER(IFERROR(SEARCH(Quote!$G$1,I79,1),""))</f>
        <v>1</v>
      </c>
      <c r="K79" s="30">
        <f>IF(J79=1,COUNTIF($J$1:J79,1),"")</f>
        <v>79</v>
      </c>
      <c r="L79" s="30" t="str">
        <f>IFERROR(INDEX($I$1:$I$500,MATCH(ROWS($K$1:K79),$K$1:$K$500,0)),"")</f>
        <v>Landel Controls Ltd.</v>
      </c>
    </row>
    <row r="80" spans="2:12" x14ac:dyDescent="0.25">
      <c r="B80" s="30">
        <f>--ISNUMBER(IFERROR(SEARCH(Quote!$G$1,A80,1),""))</f>
        <v>0</v>
      </c>
      <c r="C80" s="30" t="str">
        <f>IF(B80=1,COUNTIF($B$1:B80,1),"")</f>
        <v/>
      </c>
      <c r="D80" s="30" t="str">
        <f>IFERROR(INDEX($A$1:$A$10,MATCH(ROWS($C$1:C80),$C$1:$C$10,0)),"")</f>
        <v/>
      </c>
      <c r="F80" s="30">
        <f>--ISNUMBER(IFERROR(SEARCH(Quote!$G$1,E80,1),""))</f>
        <v>0</v>
      </c>
      <c r="G80" s="30" t="str">
        <f>IF(F80=1,COUNTIF($F$1:F80,1),"")</f>
        <v/>
      </c>
      <c r="H80" s="30" t="str">
        <f>IFERROR(INDEX($E$1:$E$15,MATCH(ROWS($G$1:G80),$G$1:$G$15,0)),"")</f>
        <v/>
      </c>
      <c r="I80" s="5" t="s">
        <v>107</v>
      </c>
      <c r="J80" s="30">
        <f>--ISNUMBER(IFERROR(SEARCH(Quote!$G$1,I80,1),""))</f>
        <v>1</v>
      </c>
      <c r="K80" s="30">
        <f>IF(J80=1,COUNTIF($J$1:J80,1),"")</f>
        <v>80</v>
      </c>
      <c r="L80" s="30" t="str">
        <f>IFERROR(INDEX($I$1:$I$500,MATCH(ROWS($K$1:K80),$K$1:$K$500,0)),"")</f>
        <v>Laser Impressions</v>
      </c>
    </row>
    <row r="81" spans="2:12" x14ac:dyDescent="0.25">
      <c r="B81" s="30">
        <f>--ISNUMBER(IFERROR(SEARCH(Quote!$G$1,A81,1),""))</f>
        <v>0</v>
      </c>
      <c r="C81" s="30" t="str">
        <f>IF(B81=1,COUNTIF($B$1:B81,1),"")</f>
        <v/>
      </c>
      <c r="D81" s="30" t="str">
        <f>IFERROR(INDEX($A$1:$A$10,MATCH(ROWS($C$1:C81),$C$1:$C$10,0)),"")</f>
        <v/>
      </c>
      <c r="F81" s="30">
        <f>--ISNUMBER(IFERROR(SEARCH(Quote!$G$1,E81,1),""))</f>
        <v>0</v>
      </c>
      <c r="G81" s="30" t="str">
        <f>IF(F81=1,COUNTIF($F$1:F81,1),"")</f>
        <v/>
      </c>
      <c r="H81" s="30" t="str">
        <f>IFERROR(INDEX($E$1:$E$15,MATCH(ROWS($G$1:G81),$G$1:$G$15,0)),"")</f>
        <v/>
      </c>
      <c r="I81" s="5" t="s">
        <v>108</v>
      </c>
      <c r="J81" s="30">
        <f>--ISNUMBER(IFERROR(SEARCH(Quote!$G$1,I81,1),""))</f>
        <v>1</v>
      </c>
      <c r="K81" s="30">
        <f>IF(J81=1,COUNTIF($J$1:J81,1),"")</f>
        <v>81</v>
      </c>
      <c r="L81" s="30" t="str">
        <f>IFERROR(INDEX($I$1:$I$500,MATCH(ROWS($K$1:K81),$K$1:$K$500,0)),"")</f>
        <v>Lift Support technologies</v>
      </c>
    </row>
    <row r="82" spans="2:12" x14ac:dyDescent="0.25">
      <c r="B82" s="30">
        <f>--ISNUMBER(IFERROR(SEARCH(Quote!$G$1,A82,1),""))</f>
        <v>0</v>
      </c>
      <c r="C82" s="30" t="str">
        <f>IF(B82=1,COUNTIF($B$1:B82,1),"")</f>
        <v/>
      </c>
      <c r="D82" s="30" t="str">
        <f>IFERROR(INDEX($A$1:$A$10,MATCH(ROWS($C$1:C82),$C$1:$C$10,0)),"")</f>
        <v/>
      </c>
      <c r="F82" s="30">
        <f>--ISNUMBER(IFERROR(SEARCH(Quote!$G$1,E82,1),""))</f>
        <v>0</v>
      </c>
      <c r="G82" s="30" t="str">
        <f>IF(F82=1,COUNTIF($F$1:F82,1),"")</f>
        <v/>
      </c>
      <c r="H82" s="30" t="str">
        <f>IFERROR(INDEX($E$1:$E$15,MATCH(ROWS($G$1:G82),$G$1:$G$15,0)),"")</f>
        <v/>
      </c>
      <c r="I82" s="5" t="s">
        <v>109</v>
      </c>
      <c r="J82" s="30">
        <f>--ISNUMBER(IFERROR(SEARCH(Quote!$G$1,I82,1),""))</f>
        <v>1</v>
      </c>
      <c r="K82" s="30">
        <f>IF(J82=1,COUNTIF($J$1:J82,1),"")</f>
        <v>82</v>
      </c>
      <c r="L82" s="30" t="str">
        <f>IFERROR(INDEX($I$1:$I$500,MATCH(ROWS($K$1:K82),$K$1:$K$500,0)),"")</f>
        <v>Little Rock Holdings</v>
      </c>
    </row>
    <row r="83" spans="2:12" x14ac:dyDescent="0.25">
      <c r="B83" s="30">
        <f>--ISNUMBER(IFERROR(SEARCH(Quote!$G$1,A83,1),""))</f>
        <v>0</v>
      </c>
      <c r="C83" s="30" t="str">
        <f>IF(B83=1,COUNTIF($B$1:B83,1),"")</f>
        <v/>
      </c>
      <c r="D83" s="30" t="str">
        <f>IFERROR(INDEX($A$1:$A$10,MATCH(ROWS($C$1:C83),$C$1:$C$10,0)),"")</f>
        <v/>
      </c>
      <c r="F83" s="30">
        <f>--ISNUMBER(IFERROR(SEARCH(Quote!$G$1,E83,1),""))</f>
        <v>0</v>
      </c>
      <c r="G83" s="30" t="str">
        <f>IF(F83=1,COUNTIF($F$1:F83,1),"")</f>
        <v/>
      </c>
      <c r="H83" s="30" t="str">
        <f>IFERROR(INDEX($E$1:$E$15,MATCH(ROWS($G$1:G83),$G$1:$G$15,0)),"")</f>
        <v/>
      </c>
      <c r="I83" s="5" t="s">
        <v>110</v>
      </c>
      <c r="J83" s="30">
        <f>--ISNUMBER(IFERROR(SEARCH(Quote!$G$1,I83,1),""))</f>
        <v>1</v>
      </c>
      <c r="K83" s="30">
        <f>IF(J83=1,COUNTIF($J$1:J83,1),"")</f>
        <v>83</v>
      </c>
      <c r="L83" s="30" t="str">
        <f>IFERROR(INDEX($I$1:$I$500,MATCH(ROWS($K$1:K83),$K$1:$K$500,0)),"")</f>
        <v>Livingstone USA Broker</v>
      </c>
    </row>
    <row r="84" spans="2:12" x14ac:dyDescent="0.25">
      <c r="B84" s="30">
        <f>--ISNUMBER(IFERROR(SEARCH(Quote!$G$1,A84,1),""))</f>
        <v>0</v>
      </c>
      <c r="C84" s="30" t="str">
        <f>IF(B84=1,COUNTIF($B$1:B84,1),"")</f>
        <v/>
      </c>
      <c r="D84" s="30" t="str">
        <f>IFERROR(INDEX($A$1:$A$10,MATCH(ROWS($C$1:C84),$C$1:$C$10,0)),"")</f>
        <v/>
      </c>
      <c r="F84" s="30">
        <f>--ISNUMBER(IFERROR(SEARCH(Quote!$G$1,E84,1),""))</f>
        <v>0</v>
      </c>
      <c r="G84" s="30" t="str">
        <f>IF(F84=1,COUNTIF($F$1:F84,1),"")</f>
        <v/>
      </c>
      <c r="H84" s="30" t="str">
        <f>IFERROR(INDEX($E$1:$E$15,MATCH(ROWS($G$1:G84),$G$1:$G$15,0)),"")</f>
        <v/>
      </c>
      <c r="I84" s="5" t="s">
        <v>111</v>
      </c>
      <c r="J84" s="30">
        <f>--ISNUMBER(IFERROR(SEARCH(Quote!$G$1,I84,1),""))</f>
        <v>1</v>
      </c>
      <c r="K84" s="30">
        <f>IF(J84=1,COUNTIF($J$1:J84,1),"")</f>
        <v>84</v>
      </c>
      <c r="L84" s="30" t="str">
        <f>IFERROR(INDEX($I$1:$I$500,MATCH(ROWS($K$1:K84),$K$1:$K$500,0)),"")</f>
        <v>Loraas Disposal</v>
      </c>
    </row>
    <row r="85" spans="2:12" x14ac:dyDescent="0.25">
      <c r="B85" s="30">
        <f>--ISNUMBER(IFERROR(SEARCH(Quote!$G$1,A85,1),""))</f>
        <v>0</v>
      </c>
      <c r="C85" s="30" t="str">
        <f>IF(B85=1,COUNTIF($B$1:B85,1),"")</f>
        <v/>
      </c>
      <c r="D85" s="30" t="str">
        <f>IFERROR(INDEX($A$1:$A$10,MATCH(ROWS($C$1:C85),$C$1:$C$10,0)),"")</f>
        <v/>
      </c>
      <c r="F85" s="30">
        <f>--ISNUMBER(IFERROR(SEARCH(Quote!$G$1,E85,1),""))</f>
        <v>0</v>
      </c>
      <c r="G85" s="30" t="str">
        <f>IF(F85=1,COUNTIF($F$1:F85,1),"")</f>
        <v/>
      </c>
      <c r="H85" s="30" t="str">
        <f>IFERROR(INDEX($E$1:$E$15,MATCH(ROWS($G$1:G85),$G$1:$G$15,0)),"")</f>
        <v/>
      </c>
      <c r="I85" s="5" t="s">
        <v>112</v>
      </c>
      <c r="J85" s="30">
        <f>--ISNUMBER(IFERROR(SEARCH(Quote!$G$1,I85,1),""))</f>
        <v>1</v>
      </c>
      <c r="K85" s="30">
        <f>IF(J85=1,COUNTIF($J$1:J85,1),"")</f>
        <v>85</v>
      </c>
      <c r="L85" s="30" t="str">
        <f>IFERROR(INDEX($I$1:$I$500,MATCH(ROWS($K$1:K85),$K$1:$K$500,0)),"")</f>
        <v>Marmon/Keystone</v>
      </c>
    </row>
    <row r="86" spans="2:12" x14ac:dyDescent="0.25">
      <c r="B86" s="30">
        <f>--ISNUMBER(IFERROR(SEARCH(Quote!$G$1,A86,1),""))</f>
        <v>0</v>
      </c>
      <c r="C86" s="30" t="str">
        <f>IF(B86=1,COUNTIF($B$1:B86,1),"")</f>
        <v/>
      </c>
      <c r="D86" s="30" t="str">
        <f>IFERROR(INDEX($A$1:$A$10,MATCH(ROWS($C$1:C86),$C$1:$C$10,0)),"")</f>
        <v/>
      </c>
      <c r="F86" s="30">
        <f>--ISNUMBER(IFERROR(SEARCH(Quote!$G$1,E86,1),""))</f>
        <v>0</v>
      </c>
      <c r="G86" s="30" t="str">
        <f>IF(F86=1,COUNTIF($F$1:F86,1),"")</f>
        <v/>
      </c>
      <c r="H86" s="30" t="str">
        <f>IFERROR(INDEX($E$1:$E$15,MATCH(ROWS($G$1:G86),$G$1:$G$15,0)),"")</f>
        <v/>
      </c>
      <c r="I86" s="5" t="s">
        <v>113</v>
      </c>
      <c r="J86" s="30">
        <f>--ISNUMBER(IFERROR(SEARCH(Quote!$G$1,I86,1),""))</f>
        <v>1</v>
      </c>
      <c r="K86" s="30">
        <f>IF(J86=1,COUNTIF($J$1:J86,1),"")</f>
        <v>86</v>
      </c>
      <c r="L86" s="30" t="str">
        <f>IFERROR(INDEX($I$1:$I$500,MATCH(ROWS($K$1:K86),$K$1:$K$500,0)),"")</f>
        <v>Massload</v>
      </c>
    </row>
    <row r="87" spans="2:12" x14ac:dyDescent="0.25">
      <c r="B87" s="30">
        <f>--ISNUMBER(IFERROR(SEARCH(Quote!$G$1,A87,1),""))</f>
        <v>0</v>
      </c>
      <c r="C87" s="30" t="str">
        <f>IF(B87=1,COUNTIF($B$1:B87,1),"")</f>
        <v/>
      </c>
      <c r="D87" s="30" t="str">
        <f>IFERROR(INDEX($A$1:$A$10,MATCH(ROWS($C$1:C87),$C$1:$C$10,0)),"")</f>
        <v/>
      </c>
      <c r="F87" s="30">
        <f>--ISNUMBER(IFERROR(SEARCH(Quote!$G$1,E87,1),""))</f>
        <v>0</v>
      </c>
      <c r="G87" s="30" t="str">
        <f>IF(F87=1,COUNTIF($F$1:F87,1),"")</f>
        <v/>
      </c>
      <c r="H87" s="30" t="str">
        <f>IFERROR(INDEX($E$1:$E$15,MATCH(ROWS($G$1:G87),$G$1:$G$15,0)),"")</f>
        <v/>
      </c>
      <c r="I87" s="5" t="s">
        <v>114</v>
      </c>
      <c r="J87" s="30">
        <f>--ISNUMBER(IFERROR(SEARCH(Quote!$G$1,I87,1),""))</f>
        <v>1</v>
      </c>
      <c r="K87" s="30">
        <f>IF(J87=1,COUNTIF($J$1:J87,1),"")</f>
        <v>87</v>
      </c>
      <c r="L87" s="30" t="str">
        <f>IFERROR(INDEX($I$1:$I$500,MATCH(ROWS($K$1:K87),$K$1:$K$500,0)),"")</f>
        <v>McMASTER-CARR</v>
      </c>
    </row>
    <row r="88" spans="2:12" x14ac:dyDescent="0.25">
      <c r="B88" s="30">
        <f>--ISNUMBER(IFERROR(SEARCH(Quote!$G$1,A88,1),""))</f>
        <v>0</v>
      </c>
      <c r="C88" s="30" t="str">
        <f>IF(B88=1,COUNTIF($B$1:B88,1),"")</f>
        <v/>
      </c>
      <c r="D88" s="30" t="str">
        <f>IFERROR(INDEX($A$1:$A$10,MATCH(ROWS($C$1:C88),$C$1:$C$10,0)),"")</f>
        <v/>
      </c>
      <c r="F88" s="30">
        <f>--ISNUMBER(IFERROR(SEARCH(Quote!$G$1,E88,1),""))</f>
        <v>0</v>
      </c>
      <c r="G88" s="30" t="str">
        <f>IF(F88=1,COUNTIF($F$1:F88,1),"")</f>
        <v/>
      </c>
      <c r="H88" s="30" t="str">
        <f>IFERROR(INDEX($E$1:$E$15,MATCH(ROWS($G$1:G88),$G$1:$G$15,0)),"")</f>
        <v/>
      </c>
      <c r="I88" s="5" t="s">
        <v>115</v>
      </c>
      <c r="J88" s="30">
        <f>--ISNUMBER(IFERROR(SEARCH(Quote!$G$1,I88,1),""))</f>
        <v>1</v>
      </c>
      <c r="K88" s="30">
        <f>IF(J88=1,COUNTIF($J$1:J88,1),"")</f>
        <v>88</v>
      </c>
      <c r="L88" s="30" t="str">
        <f>IFERROR(INDEX($I$1:$I$500,MATCH(ROWS($K$1:K88),$K$1:$K$500,0)),"")</f>
        <v>Medallion Pipe Supply</v>
      </c>
    </row>
    <row r="89" spans="2:12" x14ac:dyDescent="0.25">
      <c r="B89" s="30">
        <f>--ISNUMBER(IFERROR(SEARCH(Quote!$G$1,A89,1),""))</f>
        <v>0</v>
      </c>
      <c r="C89" s="30" t="str">
        <f>IF(B89=1,COUNTIF($B$1:B89,1),"")</f>
        <v/>
      </c>
      <c r="D89" s="30" t="str">
        <f>IFERROR(INDEX($A$1:$A$10,MATCH(ROWS($C$1:C89),$C$1:$C$10,0)),"")</f>
        <v/>
      </c>
      <c r="F89" s="30">
        <f>--ISNUMBER(IFERROR(SEARCH(Quote!$G$1,E89,1),""))</f>
        <v>0</v>
      </c>
      <c r="G89" s="30" t="str">
        <f>IF(F89=1,COUNTIF($F$1:F89,1),"")</f>
        <v/>
      </c>
      <c r="H89" s="30" t="str">
        <f>IFERROR(INDEX($E$1:$E$15,MATCH(ROWS($G$1:G89),$G$1:$G$15,0)),"")</f>
        <v/>
      </c>
      <c r="I89" s="5" t="s">
        <v>116</v>
      </c>
      <c r="J89" s="30">
        <f>--ISNUMBER(IFERROR(SEARCH(Quote!$G$1,I89,1),""))</f>
        <v>1</v>
      </c>
      <c r="K89" s="30">
        <f>IF(J89=1,COUNTIF($J$1:J89,1),"")</f>
        <v>89</v>
      </c>
      <c r="L89" s="30" t="str">
        <f>IFERROR(INDEX($I$1:$I$500,MATCH(ROWS($K$1:K89),$K$1:$K$500,0)),"")</f>
        <v>Metallicut</v>
      </c>
    </row>
    <row r="90" spans="2:12" x14ac:dyDescent="0.25">
      <c r="B90" s="30">
        <f>--ISNUMBER(IFERROR(SEARCH(Quote!$G$1,A90,1),""))</f>
        <v>0</v>
      </c>
      <c r="C90" s="30" t="str">
        <f>IF(B90=1,COUNTIF($B$1:B90,1),"")</f>
        <v/>
      </c>
      <c r="D90" s="30" t="str">
        <f>IFERROR(INDEX($A$1:$A$10,MATCH(ROWS($C$1:C90),$C$1:$C$10,0)),"")</f>
        <v/>
      </c>
      <c r="F90" s="30">
        <f>--ISNUMBER(IFERROR(SEARCH(Quote!$G$1,E90,1),""))</f>
        <v>0</v>
      </c>
      <c r="G90" s="30" t="str">
        <f>IF(F90=1,COUNTIF($F$1:F90,1),"")</f>
        <v/>
      </c>
      <c r="H90" s="30" t="str">
        <f>IFERROR(INDEX($E$1:$E$15,MATCH(ROWS($G$1:G90),$G$1:$G$15,0)),"")</f>
        <v/>
      </c>
      <c r="I90" s="5" t="s">
        <v>189</v>
      </c>
      <c r="J90" s="30">
        <f>--ISNUMBER(IFERROR(SEARCH(Quote!$G$1,I90,1),""))</f>
        <v>1</v>
      </c>
      <c r="K90" s="30">
        <f>IF(J90=1,COUNTIF($J$1:J90,1),"")</f>
        <v>90</v>
      </c>
      <c r="L90" s="30" t="str">
        <f>IFERROR(INDEX($I$1:$I$500,MATCH(ROWS($K$1:K90),$K$1:$K$500,0)),"")</f>
        <v>Metalshapes</v>
      </c>
    </row>
    <row r="91" spans="2:12" x14ac:dyDescent="0.25">
      <c r="B91" s="30">
        <f>--ISNUMBER(IFERROR(SEARCH(Quote!$G$1,A91,1),""))</f>
        <v>0</v>
      </c>
      <c r="C91" s="30" t="str">
        <f>IF(B91=1,COUNTIF($B$1:B91,1),"")</f>
        <v/>
      </c>
      <c r="D91" s="30" t="str">
        <f>IFERROR(INDEX($A$1:$A$10,MATCH(ROWS($C$1:C91),$C$1:$C$10,0)),"")</f>
        <v/>
      </c>
      <c r="F91" s="30">
        <f>--ISNUMBER(IFERROR(SEARCH(Quote!$G$1,E91,1),""))</f>
        <v>0</v>
      </c>
      <c r="G91" s="30" t="str">
        <f>IF(F91=1,COUNTIF($F$1:F91,1),"")</f>
        <v/>
      </c>
      <c r="H91" s="30" t="str">
        <f>IFERROR(INDEX($E$1:$E$15,MATCH(ROWS($G$1:G91),$G$1:$G$15,0)),"")</f>
        <v/>
      </c>
      <c r="I91" s="5" t="s">
        <v>117</v>
      </c>
      <c r="J91" s="30">
        <f>--ISNUMBER(IFERROR(SEARCH(Quote!$G$1,I91,1),""))</f>
        <v>1</v>
      </c>
      <c r="K91" s="30">
        <f>IF(J91=1,COUNTIF($J$1:J91,1),"")</f>
        <v>91</v>
      </c>
      <c r="L91" s="30" t="str">
        <f>IFERROR(INDEX($I$1:$I$500,MATCH(ROWS($K$1:K91),$K$1:$K$500,0)),"")</f>
        <v>Monarch Industries</v>
      </c>
    </row>
    <row r="92" spans="2:12" x14ac:dyDescent="0.25">
      <c r="B92" s="30">
        <f>--ISNUMBER(IFERROR(SEARCH(Quote!$G$1,A92,1),""))</f>
        <v>0</v>
      </c>
      <c r="C92" s="30" t="str">
        <f>IF(B92=1,COUNTIF($B$1:B92,1),"")</f>
        <v/>
      </c>
      <c r="D92" s="30" t="str">
        <f>IFERROR(INDEX($A$1:$A$10,MATCH(ROWS($C$1:C92),$C$1:$C$10,0)),"")</f>
        <v/>
      </c>
      <c r="F92" s="30">
        <f>--ISNUMBER(IFERROR(SEARCH(Quote!$G$1,E92,1),""))</f>
        <v>0</v>
      </c>
      <c r="G92" s="30" t="str">
        <f>IF(F92=1,COUNTIF($F$1:F92,1),"")</f>
        <v/>
      </c>
      <c r="H92" s="30" t="str">
        <f>IFERROR(INDEX($E$1:$E$15,MATCH(ROWS($G$1:G92),$G$1:$G$15,0)),"")</f>
        <v/>
      </c>
      <c r="I92" s="5" t="s">
        <v>190</v>
      </c>
      <c r="J92" s="30">
        <f>--ISNUMBER(IFERROR(SEARCH(Quote!$G$1,I92,1),""))</f>
        <v>1</v>
      </c>
      <c r="K92" s="30">
        <f>IF(J92=1,COUNTIF($J$1:J92,1),"")</f>
        <v>92</v>
      </c>
      <c r="L92" s="30" t="str">
        <f>IFERROR(INDEX($I$1:$I$500,MATCH(ROWS($K$1:K92),$K$1:$K$500,0)),"")</f>
        <v>Motion Industries</v>
      </c>
    </row>
    <row r="93" spans="2:12" x14ac:dyDescent="0.25">
      <c r="B93" s="30">
        <f>--ISNUMBER(IFERROR(SEARCH(Quote!$G$1,A93,1),""))</f>
        <v>0</v>
      </c>
      <c r="C93" s="30" t="str">
        <f>IF(B93=1,COUNTIF($B$1:B93,1),"")</f>
        <v/>
      </c>
      <c r="D93" s="30" t="str">
        <f>IFERROR(INDEX($A$1:$A$10,MATCH(ROWS($C$1:C93),$C$1:$C$10,0)),"")</f>
        <v/>
      </c>
      <c r="F93" s="30">
        <f>--ISNUMBER(IFERROR(SEARCH(Quote!$G$1,E93,1),""))</f>
        <v>0</v>
      </c>
      <c r="G93" s="30" t="str">
        <f>IF(F93=1,COUNTIF($F$1:F93,1),"")</f>
        <v/>
      </c>
      <c r="H93" s="30" t="str">
        <f>IFERROR(INDEX($E$1:$E$15,MATCH(ROWS($G$1:G93),$G$1:$G$15,0)),"")</f>
        <v/>
      </c>
      <c r="I93" s="5" t="s">
        <v>118</v>
      </c>
      <c r="J93" s="30">
        <f>--ISNUMBER(IFERROR(SEARCH(Quote!$G$1,I93,1),""))</f>
        <v>1</v>
      </c>
      <c r="K93" s="30">
        <f>IF(J93=1,COUNTIF($J$1:J93,1),"")</f>
        <v>93</v>
      </c>
      <c r="L93" s="30" t="str">
        <f>IFERROR(INDEX($I$1:$I$500,MATCH(ROWS($K$1:K93),$K$1:$K$500,0)),"")</f>
        <v>Multicrete Systems</v>
      </c>
    </row>
    <row r="94" spans="2:12" x14ac:dyDescent="0.25">
      <c r="B94" s="30">
        <f>--ISNUMBER(IFERROR(SEARCH(Quote!$G$1,A94,1),""))</f>
        <v>0</v>
      </c>
      <c r="C94" s="30" t="str">
        <f>IF(B94=1,COUNTIF($B$1:B94,1),"")</f>
        <v/>
      </c>
      <c r="D94" s="30" t="str">
        <f>IFERROR(INDEX($A$1:$A$10,MATCH(ROWS($C$1:C94),$C$1:$C$10,0)),"")</f>
        <v/>
      </c>
      <c r="F94" s="30">
        <f>--ISNUMBER(IFERROR(SEARCH(Quote!$G$1,E94,1),""))</f>
        <v>0</v>
      </c>
      <c r="G94" s="30" t="str">
        <f>IF(F94=1,COUNTIF($F$1:F94,1),"")</f>
        <v/>
      </c>
      <c r="H94" s="30" t="str">
        <f>IFERROR(INDEX($E$1:$E$15,MATCH(ROWS($G$1:G94),$G$1:$G$15,0)),"")</f>
        <v/>
      </c>
      <c r="I94" s="5" t="s">
        <v>119</v>
      </c>
      <c r="J94" s="30">
        <f>--ISNUMBER(IFERROR(SEARCH(Quote!$G$1,I94,1),""))</f>
        <v>1</v>
      </c>
      <c r="K94" s="30">
        <f>IF(J94=1,COUNTIF($J$1:J94,1),"")</f>
        <v>94</v>
      </c>
      <c r="L94" s="30" t="str">
        <f>IFERROR(INDEX($I$1:$I$500,MATCH(ROWS($K$1:K94),$K$1:$K$500,0)),"")</f>
        <v>New West Metals</v>
      </c>
    </row>
    <row r="95" spans="2:12" x14ac:dyDescent="0.25">
      <c r="B95" s="30">
        <f>--ISNUMBER(IFERROR(SEARCH(Quote!$G$1,A95,1),""))</f>
        <v>0</v>
      </c>
      <c r="C95" s="30" t="str">
        <f>IF(B95=1,COUNTIF($B$1:B95,1),"")</f>
        <v/>
      </c>
      <c r="D95" s="30" t="str">
        <f>IFERROR(INDEX($A$1:$A$10,MATCH(ROWS($C$1:C95),$C$1:$C$10,0)),"")</f>
        <v/>
      </c>
      <c r="F95" s="30">
        <f>--ISNUMBER(IFERROR(SEARCH(Quote!$G$1,E95,1),""))</f>
        <v>0</v>
      </c>
      <c r="G95" s="30" t="str">
        <f>IF(F95=1,COUNTIF($F$1:F95,1),"")</f>
        <v/>
      </c>
      <c r="H95" s="30" t="str">
        <f>IFERROR(INDEX($E$1:$E$15,MATCH(ROWS($G$1:G95),$G$1:$G$15,0)),"")</f>
        <v/>
      </c>
      <c r="I95" s="5" t="s">
        <v>120</v>
      </c>
      <c r="J95" s="30">
        <f>--ISNUMBER(IFERROR(SEARCH(Quote!$G$1,I95,1),""))</f>
        <v>1</v>
      </c>
      <c r="K95" s="30">
        <f>IF(J95=1,COUNTIF($J$1:J95,1),"")</f>
        <v>95</v>
      </c>
      <c r="L95" s="30" t="str">
        <f>IFERROR(INDEX($I$1:$I$500,MATCH(ROWS($K$1:K95),$K$1:$K$500,0)),"")</f>
        <v>Northern Industrial</v>
      </c>
    </row>
    <row r="96" spans="2:12" x14ac:dyDescent="0.25">
      <c r="B96" s="30">
        <f>--ISNUMBER(IFERROR(SEARCH(Quote!$G$1,A96,1),""))</f>
        <v>0</v>
      </c>
      <c r="C96" s="30" t="str">
        <f>IF(B96=1,COUNTIF($B$1:B96,1),"")</f>
        <v/>
      </c>
      <c r="D96" s="30" t="str">
        <f>IFERROR(INDEX($A$1:$A$10,MATCH(ROWS($C$1:C96),$C$1:$C$10,0)),"")</f>
        <v/>
      </c>
      <c r="F96" s="30">
        <f>--ISNUMBER(IFERROR(SEARCH(Quote!$G$1,E96,1),""))</f>
        <v>0</v>
      </c>
      <c r="G96" s="30" t="str">
        <f>IF(F96=1,COUNTIF($F$1:F96,1),"")</f>
        <v/>
      </c>
      <c r="H96" s="30" t="str">
        <f>IFERROR(INDEX($E$1:$E$15,MATCH(ROWS($G$1:G96),$G$1:$G$15,0)),"")</f>
        <v/>
      </c>
      <c r="I96" s="5" t="s">
        <v>121</v>
      </c>
      <c r="J96" s="30">
        <f>--ISNUMBER(IFERROR(SEARCH(Quote!$G$1,I96,1),""))</f>
        <v>1</v>
      </c>
      <c r="K96" s="30">
        <f>IF(J96=1,COUNTIF($J$1:J96,1),"")</f>
        <v>96</v>
      </c>
      <c r="L96" s="30" t="str">
        <f>IFERROR(INDEX($I$1:$I$500,MATCH(ROWS($K$1:K96),$K$1:$K$500,0)),"")</f>
        <v>Northern Strands</v>
      </c>
    </row>
    <row r="97" spans="2:12" x14ac:dyDescent="0.25">
      <c r="B97" s="30">
        <f>--ISNUMBER(IFERROR(SEARCH(Quote!$G$1,A97,1),""))</f>
        <v>0</v>
      </c>
      <c r="C97" s="30" t="str">
        <f>IF(B97=1,COUNTIF($B$1:B97,1),"")</f>
        <v/>
      </c>
      <c r="D97" s="30" t="str">
        <f>IFERROR(INDEX($A$1:$A$10,MATCH(ROWS($C$1:C97),$C$1:$C$10,0)),"")</f>
        <v/>
      </c>
      <c r="F97" s="30">
        <f>--ISNUMBER(IFERROR(SEARCH(Quote!$G$1,E97,1),""))</f>
        <v>0</v>
      </c>
      <c r="G97" s="30" t="str">
        <f>IF(F97=1,COUNTIF($F$1:F97,1),"")</f>
        <v/>
      </c>
      <c r="H97" s="30" t="str">
        <f>IFERROR(INDEX($E$1:$E$15,MATCH(ROWS($G$1:G97),$G$1:$G$15,0)),"")</f>
        <v/>
      </c>
      <c r="I97" s="5" t="s">
        <v>122</v>
      </c>
      <c r="J97" s="30">
        <f>--ISNUMBER(IFERROR(SEARCH(Quote!$G$1,I97,1),""))</f>
        <v>1</v>
      </c>
      <c r="K97" s="30">
        <f>IF(J97=1,COUNTIF($J$1:J97,1),"")</f>
        <v>97</v>
      </c>
      <c r="L97" s="30" t="str">
        <f>IFERROR(INDEX($I$1:$I$500,MATCH(ROWS($K$1:K97),$K$1:$K$500,0)),"")</f>
        <v>Novatex Graphics</v>
      </c>
    </row>
    <row r="98" spans="2:12" x14ac:dyDescent="0.25">
      <c r="B98" s="30">
        <f>--ISNUMBER(IFERROR(SEARCH(Quote!$G$1,A98,1),""))</f>
        <v>0</v>
      </c>
      <c r="C98" s="30" t="str">
        <f>IF(B98=1,COUNTIF($B$1:B98,1),"")</f>
        <v/>
      </c>
      <c r="D98" s="30" t="str">
        <f>IFERROR(INDEX($A$1:$A$10,MATCH(ROWS($C$1:C98),$C$1:$C$10,0)),"")</f>
        <v/>
      </c>
      <c r="F98" s="30">
        <f>--ISNUMBER(IFERROR(SEARCH(Quote!$G$1,E98,1),""))</f>
        <v>0</v>
      </c>
      <c r="G98" s="30" t="str">
        <f>IF(F98=1,COUNTIF($F$1:F98,1),"")</f>
        <v/>
      </c>
      <c r="H98" s="30" t="str">
        <f>IFERROR(INDEX($E$1:$E$15,MATCH(ROWS($G$1:G98),$G$1:$G$15,0)),"")</f>
        <v/>
      </c>
      <c r="I98" s="5" t="s">
        <v>123</v>
      </c>
      <c r="J98" s="30">
        <f>--ISNUMBER(IFERROR(SEARCH(Quote!$G$1,I98,1),""))</f>
        <v>1</v>
      </c>
      <c r="K98" s="30">
        <f>IF(J98=1,COUNTIF($J$1:J98,1),"")</f>
        <v>98</v>
      </c>
      <c r="L98" s="30" t="str">
        <f>IFERROR(INDEX($I$1:$I$500,MATCH(ROWS($K$1:K98),$K$1:$K$500,0)),"")</f>
        <v>Nu Tech</v>
      </c>
    </row>
    <row r="99" spans="2:12" x14ac:dyDescent="0.25">
      <c r="B99" s="30">
        <f>--ISNUMBER(IFERROR(SEARCH(Quote!$G$1,A99,1),""))</f>
        <v>0</v>
      </c>
      <c r="C99" s="30" t="str">
        <f>IF(B99=1,COUNTIF($B$1:B99,1),"")</f>
        <v/>
      </c>
      <c r="D99" s="30" t="str">
        <f>IFERROR(INDEX($A$1:$A$10,MATCH(ROWS($C$1:C99),$C$1:$C$10,0)),"")</f>
        <v/>
      </c>
      <c r="F99" s="30">
        <f>--ISNUMBER(IFERROR(SEARCH(Quote!$G$1,E99,1),""))</f>
        <v>0</v>
      </c>
      <c r="G99" s="30" t="str">
        <f>IF(F99=1,COUNTIF($F$1:F99,1),"")</f>
        <v/>
      </c>
      <c r="H99" s="30" t="str">
        <f>IFERROR(INDEX($E$1:$E$15,MATCH(ROWS($G$1:G99),$G$1:$G$15,0)),"")</f>
        <v/>
      </c>
      <c r="I99" s="5" t="s">
        <v>124</v>
      </c>
      <c r="J99" s="30">
        <f>--ISNUMBER(IFERROR(SEARCH(Quote!$G$1,I99,1),""))</f>
        <v>1</v>
      </c>
      <c r="K99" s="30">
        <f>IF(J99=1,COUNTIF($J$1:J99,1),"")</f>
        <v>99</v>
      </c>
      <c r="L99" s="30" t="str">
        <f>IFERROR(INDEX($I$1:$I$500,MATCH(ROWS($K$1:K99),$K$1:$K$500,0)),"")</f>
        <v>Park Derochie</v>
      </c>
    </row>
    <row r="100" spans="2:12" x14ac:dyDescent="0.25">
      <c r="B100" s="30">
        <f>--ISNUMBER(IFERROR(SEARCH(Quote!$G$1,A100,1),""))</f>
        <v>0</v>
      </c>
      <c r="C100" s="30" t="str">
        <f>IF(B100=1,COUNTIF($B$1:B100,1),"")</f>
        <v/>
      </c>
      <c r="D100" s="30" t="str">
        <f>IFERROR(INDEX($A$1:$A$10,MATCH(ROWS($C$1:C100),$C$1:$C$10,0)),"")</f>
        <v/>
      </c>
      <c r="F100" s="30">
        <f>--ISNUMBER(IFERROR(SEARCH(Quote!$G$1,E100,1),""))</f>
        <v>0</v>
      </c>
      <c r="G100" s="30" t="str">
        <f>IF(F100=1,COUNTIF($F$1:F100,1),"")</f>
        <v/>
      </c>
      <c r="H100" s="30" t="str">
        <f>IFERROR(INDEX($E$1:$E$15,MATCH(ROWS($G$1:G100),$G$1:$G$15,0)),"")</f>
        <v/>
      </c>
      <c r="I100" s="5" t="s">
        <v>191</v>
      </c>
      <c r="J100" s="30">
        <f>--ISNUMBER(IFERROR(SEARCH(Quote!$G$1,I100,1),""))</f>
        <v>1</v>
      </c>
      <c r="K100" s="30">
        <f>IF(J100=1,COUNTIF($J$1:J100,1),"")</f>
        <v>100</v>
      </c>
      <c r="L100" s="30" t="str">
        <f>IFERROR(INDEX($I$1:$I$500,MATCH(ROWS($K$1:K100),$K$1:$K$500,0)),"")</f>
        <v>Percy H Davis</v>
      </c>
    </row>
    <row r="101" spans="2:12" x14ac:dyDescent="0.25">
      <c r="B101" s="30">
        <f>--ISNUMBER(IFERROR(SEARCH(Quote!$G$1,A101,1),""))</f>
        <v>0</v>
      </c>
      <c r="C101" s="30" t="str">
        <f>IF(B101=1,COUNTIF($B$1:B101,1),"")</f>
        <v/>
      </c>
      <c r="D101" s="30" t="str">
        <f>IFERROR(INDEX($A$1:$A$10,MATCH(ROWS($C$1:C101),$C$1:$C$10,0)),"")</f>
        <v/>
      </c>
      <c r="F101" s="30">
        <f>--ISNUMBER(IFERROR(SEARCH(Quote!$G$1,E101,1),""))</f>
        <v>0</v>
      </c>
      <c r="G101" s="30" t="str">
        <f>IF(F101=1,COUNTIF($F$1:F101,1),"")</f>
        <v/>
      </c>
      <c r="H101" s="30" t="str">
        <f>IFERROR(INDEX($E$1:$E$15,MATCH(ROWS($G$1:G101),$G$1:$G$15,0)),"")</f>
        <v/>
      </c>
      <c r="I101" s="5" t="s">
        <v>125</v>
      </c>
      <c r="J101" s="30">
        <f>--ISNUMBER(IFERROR(SEARCH(Quote!$G$1,I101,1),""))</f>
        <v>1</v>
      </c>
      <c r="K101" s="30">
        <f>IF(J101=1,COUNTIF($J$1:J101,1),"")</f>
        <v>101</v>
      </c>
      <c r="L101" s="30" t="str">
        <f>IFERROR(INDEX($I$1:$I$500,MATCH(ROWS($K$1:K101),$K$1:$K$500,0)),"")</f>
        <v>Pillar Lasers</v>
      </c>
    </row>
    <row r="102" spans="2:12" x14ac:dyDescent="0.25">
      <c r="B102" s="30">
        <f>--ISNUMBER(IFERROR(SEARCH(Quote!$G$1,A102,1),""))</f>
        <v>0</v>
      </c>
      <c r="C102" s="30" t="str">
        <f>IF(B102=1,COUNTIF($B$1:B102,1),"")</f>
        <v/>
      </c>
      <c r="D102" s="30" t="str">
        <f>IFERROR(INDEX($A$1:$A$10,MATCH(ROWS($C$1:C102),$C$1:$C$10,0)),"")</f>
        <v/>
      </c>
      <c r="F102" s="30">
        <f>--ISNUMBER(IFERROR(SEARCH(Quote!$G$1,E102,1),""))</f>
        <v>0</v>
      </c>
      <c r="G102" s="30" t="str">
        <f>IF(F102=1,COUNTIF($F$1:F102,1),"")</f>
        <v/>
      </c>
      <c r="H102" s="30" t="str">
        <f>IFERROR(INDEX($E$1:$E$15,MATCH(ROWS($G$1:G102),$G$1:$G$15,0)),"")</f>
        <v/>
      </c>
      <c r="I102" s="5" t="s">
        <v>126</v>
      </c>
      <c r="J102" s="30">
        <f>--ISNUMBER(IFERROR(SEARCH(Quote!$G$1,I102,1),""))</f>
        <v>1</v>
      </c>
      <c r="K102" s="30">
        <f>IF(J102=1,COUNTIF($J$1:J102,1),"")</f>
        <v>102</v>
      </c>
      <c r="L102" s="30" t="str">
        <f>IFERROR(INDEX($I$1:$I$500,MATCH(ROWS($K$1:K102),$K$1:$K$500,0)),"")</f>
        <v>Pinnacle Stainless</v>
      </c>
    </row>
    <row r="103" spans="2:12" x14ac:dyDescent="0.25">
      <c r="B103" s="30">
        <f>--ISNUMBER(IFERROR(SEARCH(Quote!$G$1,A103,1),""))</f>
        <v>0</v>
      </c>
      <c r="C103" s="30" t="str">
        <f>IF(B103=1,COUNTIF($B$1:B103,1),"")</f>
        <v/>
      </c>
      <c r="D103" s="30" t="str">
        <f>IFERROR(INDEX($A$1:$A$10,MATCH(ROWS($C$1:C103),$C$1:$C$10,0)),"")</f>
        <v/>
      </c>
      <c r="F103" s="30">
        <f>--ISNUMBER(IFERROR(SEARCH(Quote!$G$1,E103,1),""))</f>
        <v>0</v>
      </c>
      <c r="G103" s="30" t="str">
        <f>IF(F103=1,COUNTIF($F$1:F103,1),"")</f>
        <v/>
      </c>
      <c r="H103" s="30" t="str">
        <f>IFERROR(INDEX($E$1:$E$15,MATCH(ROWS($G$1:G103),$G$1:$G$15,0)),"")</f>
        <v/>
      </c>
      <c r="I103" s="5" t="s">
        <v>127</v>
      </c>
      <c r="J103" s="30">
        <f>--ISNUMBER(IFERROR(SEARCH(Quote!$G$1,I103,1),""))</f>
        <v>1</v>
      </c>
      <c r="K103" s="30">
        <f>IF(J103=1,COUNTIF($J$1:J103,1),"")</f>
        <v>103</v>
      </c>
      <c r="L103" s="30" t="str">
        <f>IFERROR(INDEX($I$1:$I$500,MATCH(ROWS($K$1:K103),$K$1:$K$500,0)),"")</f>
        <v>Plastic &amp; Rubber Solutions</v>
      </c>
    </row>
    <row r="104" spans="2:12" x14ac:dyDescent="0.25">
      <c r="B104" s="30">
        <f>--ISNUMBER(IFERROR(SEARCH(Quote!$G$1,A104,1),""))</f>
        <v>0</v>
      </c>
      <c r="C104" s="30" t="str">
        <f>IF(B104=1,COUNTIF($B$1:B104,1),"")</f>
        <v/>
      </c>
      <c r="D104" s="30" t="str">
        <f>IFERROR(INDEX($A$1:$A$10,MATCH(ROWS($C$1:C104),$C$1:$C$10,0)),"")</f>
        <v/>
      </c>
      <c r="F104" s="30">
        <f>--ISNUMBER(IFERROR(SEARCH(Quote!$G$1,E104,1),""))</f>
        <v>0</v>
      </c>
      <c r="G104" s="30" t="str">
        <f>IF(F104=1,COUNTIF($F$1:F104,1),"")</f>
        <v/>
      </c>
      <c r="H104" s="30" t="str">
        <f>IFERROR(INDEX($E$1:$E$15,MATCH(ROWS($G$1:G104),$G$1:$G$15,0)),"")</f>
        <v/>
      </c>
      <c r="I104" s="5" t="s">
        <v>128</v>
      </c>
      <c r="J104" s="30">
        <f>--ISNUMBER(IFERROR(SEARCH(Quote!$G$1,I104,1),""))</f>
        <v>1</v>
      </c>
      <c r="K104" s="30">
        <f>IF(J104=1,COUNTIF($J$1:J104,1),"")</f>
        <v>104</v>
      </c>
      <c r="L104" s="30" t="str">
        <f>IFERROR(INDEX($I$1:$I$500,MATCH(ROWS($K$1:K104),$K$1:$K$500,0)),"")</f>
        <v>Praxair</v>
      </c>
    </row>
    <row r="105" spans="2:12" x14ac:dyDescent="0.25">
      <c r="B105" s="30">
        <f>--ISNUMBER(IFERROR(SEARCH(Quote!$G$1,A105,1),""))</f>
        <v>0</v>
      </c>
      <c r="C105" s="30" t="str">
        <f>IF(B105=1,COUNTIF($B$1:B105,1),"")</f>
        <v/>
      </c>
      <c r="D105" s="30" t="str">
        <f>IFERROR(INDEX($A$1:$A$10,MATCH(ROWS($C$1:C105),$C$1:$C$10,0)),"")</f>
        <v/>
      </c>
      <c r="F105" s="30">
        <f>--ISNUMBER(IFERROR(SEARCH(Quote!$G$1,E105,1),""))</f>
        <v>0</v>
      </c>
      <c r="G105" s="30" t="str">
        <f>IF(F105=1,COUNTIF($F$1:F105,1),"")</f>
        <v/>
      </c>
      <c r="H105" s="30" t="str">
        <f>IFERROR(INDEX($E$1:$E$15,MATCH(ROWS($G$1:G105),$G$1:$G$15,0)),"")</f>
        <v/>
      </c>
      <c r="I105" s="5" t="s">
        <v>129</v>
      </c>
      <c r="J105" s="30">
        <f>--ISNUMBER(IFERROR(SEARCH(Quote!$G$1,I105,1),""))</f>
        <v>1</v>
      </c>
      <c r="K105" s="30">
        <f>IF(J105=1,COUNTIF($J$1:J105,1),"")</f>
        <v>105</v>
      </c>
      <c r="L105" s="30" t="str">
        <f>IFERROR(INDEX($I$1:$I$500,MATCH(ROWS($K$1:K105),$K$1:$K$500,0)),"")</f>
        <v>Precision Electro Mechanical</v>
      </c>
    </row>
    <row r="106" spans="2:12" x14ac:dyDescent="0.25">
      <c r="B106" s="30">
        <f>--ISNUMBER(IFERROR(SEARCH(Quote!$G$1,A106,1),""))</f>
        <v>0</v>
      </c>
      <c r="C106" s="30" t="str">
        <f>IF(B106=1,COUNTIF($B$1:B106,1),"")</f>
        <v/>
      </c>
      <c r="D106" s="30" t="str">
        <f>IFERROR(INDEX($A$1:$A$10,MATCH(ROWS($C$1:C106),$C$1:$C$10,0)),"")</f>
        <v/>
      </c>
      <c r="F106" s="30">
        <f>--ISNUMBER(IFERROR(SEARCH(Quote!$G$1,E106,1),""))</f>
        <v>0</v>
      </c>
      <c r="G106" s="30" t="str">
        <f>IF(F106=1,COUNTIF($F$1:F106,1),"")</f>
        <v/>
      </c>
      <c r="H106" s="30" t="str">
        <f>IFERROR(INDEX($E$1:$E$15,MATCH(ROWS($G$1:G106),$G$1:$G$15,0)),"")</f>
        <v/>
      </c>
      <c r="I106" s="5" t="s">
        <v>130</v>
      </c>
      <c r="J106" s="30">
        <f>--ISNUMBER(IFERROR(SEARCH(Quote!$G$1,I106,1),""))</f>
        <v>1</v>
      </c>
      <c r="K106" s="30">
        <f>IF(J106=1,COUNTIF($J$1:J106,1),"")</f>
        <v>106</v>
      </c>
      <c r="L106" s="30" t="str">
        <f>IFERROR(INDEX($I$1:$I$500,MATCH(ROWS($K$1:K106),$K$1:$K$500,0)),"")</f>
        <v>Precision Laser &amp; Fab</v>
      </c>
    </row>
    <row r="107" spans="2:12" x14ac:dyDescent="0.25">
      <c r="B107" s="30">
        <f>--ISNUMBER(IFERROR(SEARCH(Quote!$G$1,A107,1),""))</f>
        <v>0</v>
      </c>
      <c r="C107" s="30" t="str">
        <f>IF(B107=1,COUNTIF($B$1:B107,1),"")</f>
        <v/>
      </c>
      <c r="D107" s="30" t="str">
        <f>IFERROR(INDEX($A$1:$A$10,MATCH(ROWS($C$1:C107),$C$1:$C$10,0)),"")</f>
        <v/>
      </c>
      <c r="F107" s="30">
        <f>--ISNUMBER(IFERROR(SEARCH(Quote!$G$1,E107,1),""))</f>
        <v>0</v>
      </c>
      <c r="G107" s="30" t="str">
        <f>IF(F107=1,COUNTIF($F$1:F107,1),"")</f>
        <v/>
      </c>
      <c r="H107" s="30" t="str">
        <f>IFERROR(INDEX($E$1:$E$15,MATCH(ROWS($G$1:G107),$G$1:$G$15,0)),"")</f>
        <v/>
      </c>
      <c r="I107" s="5" t="s">
        <v>131</v>
      </c>
      <c r="J107" s="30">
        <f>--ISNUMBER(IFERROR(SEARCH(Quote!$G$1,I107,1),""))</f>
        <v>1</v>
      </c>
      <c r="K107" s="30">
        <f>IF(J107=1,COUNTIF($J$1:J107,1),"")</f>
        <v>107</v>
      </c>
      <c r="L107" s="30" t="str">
        <f>IFERROR(INDEX($I$1:$I$500,MATCH(ROWS($K$1:K107),$K$1:$K$500,0)),"")</f>
        <v>Prince Hydraulics</v>
      </c>
    </row>
    <row r="108" spans="2:12" x14ac:dyDescent="0.25">
      <c r="B108" s="30">
        <f>--ISNUMBER(IFERROR(SEARCH(Quote!$G$1,A108,1),""))</f>
        <v>0</v>
      </c>
      <c r="C108" s="30" t="str">
        <f>IF(B108=1,COUNTIF($B$1:B108,1),"")</f>
        <v/>
      </c>
      <c r="D108" s="30" t="str">
        <f>IFERROR(INDEX($A$1:$A$10,MATCH(ROWS($C$1:C108),$C$1:$C$10,0)),"")</f>
        <v/>
      </c>
      <c r="F108" s="30">
        <f>--ISNUMBER(IFERROR(SEARCH(Quote!$G$1,E108,1),""))</f>
        <v>0</v>
      </c>
      <c r="G108" s="30" t="str">
        <f>IF(F108=1,COUNTIF($F$1:F108,1),"")</f>
        <v/>
      </c>
      <c r="H108" s="30" t="str">
        <f>IFERROR(INDEX($E$1:$E$15,MATCH(ROWS($G$1:G108),$G$1:$G$15,0)),"")</f>
        <v/>
      </c>
      <c r="I108" s="5" t="s">
        <v>132</v>
      </c>
      <c r="J108" s="30">
        <f>--ISNUMBER(IFERROR(SEARCH(Quote!$G$1,I108,1),""))</f>
        <v>1</v>
      </c>
      <c r="K108" s="30">
        <f>IF(J108=1,COUNTIF($J$1:J108,1),"")</f>
        <v>108</v>
      </c>
      <c r="L108" s="30" t="str">
        <f>IFERROR(INDEX($I$1:$I$500,MATCH(ROWS($K$1:K108),$K$1:$K$500,0)),"")</f>
        <v>Princess Auto</v>
      </c>
    </row>
    <row r="109" spans="2:12" x14ac:dyDescent="0.25">
      <c r="B109" s="30">
        <f>--ISNUMBER(IFERROR(SEARCH(Quote!$G$1,A109,1),""))</f>
        <v>0</v>
      </c>
      <c r="C109" s="30" t="str">
        <f>IF(B109=1,COUNTIF($B$1:B109,1),"")</f>
        <v/>
      </c>
      <c r="D109" s="30" t="str">
        <f>IFERROR(INDEX($A$1:$A$10,MATCH(ROWS($C$1:C109),$C$1:$C$10,0)),"")</f>
        <v/>
      </c>
      <c r="F109" s="30">
        <f>--ISNUMBER(IFERROR(SEARCH(Quote!$G$1,E109,1),""))</f>
        <v>0</v>
      </c>
      <c r="G109" s="30" t="str">
        <f>IF(F109=1,COUNTIF($F$1:F109,1),"")</f>
        <v/>
      </c>
      <c r="H109" s="30" t="str">
        <f>IFERROR(INDEX($E$1:$E$15,MATCH(ROWS($G$1:G109),$G$1:$G$15,0)),"")</f>
        <v/>
      </c>
      <c r="I109" s="5" t="s">
        <v>133</v>
      </c>
      <c r="J109" s="30">
        <f>--ISNUMBER(IFERROR(SEARCH(Quote!$G$1,I109,1),""))</f>
        <v>1</v>
      </c>
      <c r="K109" s="30">
        <f>IF(J109=1,COUNTIF($J$1:J109,1),"")</f>
        <v>109</v>
      </c>
      <c r="L109" s="30" t="str">
        <f>IFERROR(INDEX($I$1:$I$500,MATCH(ROWS($K$1:K109),$K$1:$K$500,0)),"")</f>
        <v>Pro AV</v>
      </c>
    </row>
    <row r="110" spans="2:12" x14ac:dyDescent="0.25">
      <c r="B110" s="30">
        <f>--ISNUMBER(IFERROR(SEARCH(Quote!$G$1,A110,1),""))</f>
        <v>0</v>
      </c>
      <c r="C110" s="30" t="str">
        <f>IF(B110=1,COUNTIF($B$1:B110,1),"")</f>
        <v/>
      </c>
      <c r="D110" s="30" t="str">
        <f>IFERROR(INDEX($A$1:$A$10,MATCH(ROWS($C$1:C110),$C$1:$C$10,0)),"")</f>
        <v/>
      </c>
      <c r="F110" s="30">
        <f>--ISNUMBER(IFERROR(SEARCH(Quote!$G$1,E110,1),""))</f>
        <v>0</v>
      </c>
      <c r="G110" s="30" t="str">
        <f>IF(F110=1,COUNTIF($F$1:F110,1),"")</f>
        <v/>
      </c>
      <c r="H110" s="30" t="str">
        <f>IFERROR(INDEX($E$1:$E$15,MATCH(ROWS($G$1:G110),$G$1:$G$15,0)),"")</f>
        <v/>
      </c>
      <c r="I110" s="5" t="s">
        <v>134</v>
      </c>
      <c r="J110" s="30">
        <f>--ISNUMBER(IFERROR(SEARCH(Quote!$G$1,I110,1),""))</f>
        <v>1</v>
      </c>
      <c r="K110" s="30">
        <f>IF(J110=1,COUNTIF($J$1:J110,1),"")</f>
        <v>110</v>
      </c>
      <c r="L110" s="30" t="str">
        <f>IFERROR(INDEX($I$1:$I$500,MATCH(ROWS($K$1:K110),$K$1:$K$500,0)),"")</f>
        <v>Pro-Touch</v>
      </c>
    </row>
    <row r="111" spans="2:12" x14ac:dyDescent="0.25">
      <c r="B111" s="30">
        <f>--ISNUMBER(IFERROR(SEARCH(Quote!$G$1,A111,1),""))</f>
        <v>0</v>
      </c>
      <c r="C111" s="30" t="str">
        <f>IF(B111=1,COUNTIF($B$1:B111,1),"")</f>
        <v/>
      </c>
      <c r="D111" s="30" t="str">
        <f>IFERROR(INDEX($A$1:$A$10,MATCH(ROWS($C$1:C111),$C$1:$C$10,0)),"")</f>
        <v/>
      </c>
      <c r="F111" s="30">
        <f>--ISNUMBER(IFERROR(SEARCH(Quote!$G$1,E111,1),""))</f>
        <v>0</v>
      </c>
      <c r="G111" s="30" t="str">
        <f>IF(F111=1,COUNTIF($F$1:F111,1),"")</f>
        <v/>
      </c>
      <c r="H111" s="30" t="str">
        <f>IFERROR(INDEX($E$1:$E$15,MATCH(ROWS($G$1:G111),$G$1:$G$15,0)),"")</f>
        <v/>
      </c>
      <c r="I111" s="5" t="s">
        <v>135</v>
      </c>
      <c r="J111" s="30">
        <f>--ISNUMBER(IFERROR(SEARCH(Quote!$G$1,I111,1),""))</f>
        <v>1</v>
      </c>
      <c r="K111" s="30">
        <f>IF(J111=1,COUNTIF($J$1:J111,1),"")</f>
        <v>111</v>
      </c>
      <c r="L111" s="30" t="str">
        <f>IFERROR(INDEX($I$1:$I$500,MATCH(ROWS($K$1:K111),$K$1:$K$500,0)),"")</f>
        <v>QPS Evaluation Services Inc.</v>
      </c>
    </row>
    <row r="112" spans="2:12" x14ac:dyDescent="0.25">
      <c r="B112" s="30">
        <f>--ISNUMBER(IFERROR(SEARCH(Quote!$G$1,A112,1),""))</f>
        <v>0</v>
      </c>
      <c r="C112" s="30" t="str">
        <f>IF(B112=1,COUNTIF($B$1:B112,1),"")</f>
        <v/>
      </c>
      <c r="D112" s="30" t="str">
        <f>IFERROR(INDEX($A$1:$A$10,MATCH(ROWS($C$1:C112),$C$1:$C$10,0)),"")</f>
        <v/>
      </c>
      <c r="F112" s="30">
        <f>--ISNUMBER(IFERROR(SEARCH(Quote!$G$1,E112,1),""))</f>
        <v>0</v>
      </c>
      <c r="G112" s="30" t="str">
        <f>IF(F112=1,COUNTIF($F$1:F112,1),"")</f>
        <v/>
      </c>
      <c r="H112" s="30" t="str">
        <f>IFERROR(INDEX($E$1:$E$15,MATCH(ROWS($G$1:G112),$G$1:$G$15,0)),"")</f>
        <v/>
      </c>
      <c r="I112" s="5" t="s">
        <v>136</v>
      </c>
      <c r="J112" s="30">
        <f>--ISNUMBER(IFERROR(SEARCH(Quote!$G$1,I112,1),""))</f>
        <v>1</v>
      </c>
      <c r="K112" s="30">
        <f>IF(J112=1,COUNTIF($J$1:J112,1),"")</f>
        <v>112</v>
      </c>
      <c r="L112" s="30" t="str">
        <f>IFERROR(INDEX($I$1:$I$500,MATCH(ROWS($K$1:K112),$K$1:$K$500,0)),"")</f>
        <v>Quality Cutting Tools</v>
      </c>
    </row>
    <row r="113" spans="2:12" x14ac:dyDescent="0.25">
      <c r="B113" s="30">
        <f>--ISNUMBER(IFERROR(SEARCH(Quote!$G$1,A113,1),""))</f>
        <v>0</v>
      </c>
      <c r="C113" s="30" t="str">
        <f>IF(B113=1,COUNTIF($B$1:B113,1),"")</f>
        <v/>
      </c>
      <c r="D113" s="30" t="str">
        <f>IFERROR(INDEX($A$1:$A$10,MATCH(ROWS($C$1:C113),$C$1:$C$10,0)),"")</f>
        <v/>
      </c>
      <c r="F113" s="30">
        <f>--ISNUMBER(IFERROR(SEARCH(Quote!$G$1,E113,1),""))</f>
        <v>0</v>
      </c>
      <c r="G113" s="30" t="str">
        <f>IF(F113=1,COUNTIF($F$1:F113,1),"")</f>
        <v/>
      </c>
      <c r="H113" s="30" t="str">
        <f>IFERROR(INDEX($E$1:$E$15,MATCH(ROWS($G$1:G113),$G$1:$G$15,0)),"")</f>
        <v/>
      </c>
      <c r="I113" s="5" t="s">
        <v>977</v>
      </c>
      <c r="J113" s="30">
        <f>--ISNUMBER(IFERROR(SEARCH(Quote!$G$1,I113,1),""))</f>
        <v>1</v>
      </c>
      <c r="K113" s="30">
        <f>IF(J113=1,COUNTIF($J$1:J113,1),"")</f>
        <v>113</v>
      </c>
      <c r="L113" s="30" t="str">
        <f>IFERROR(INDEX($I$1:$I$500,MATCH(ROWS($K$1:K113),$K$1:$K$500,0)),"")</f>
        <v>Rapid Gear</v>
      </c>
    </row>
    <row r="114" spans="2:12" x14ac:dyDescent="0.25">
      <c r="B114" s="30">
        <f>--ISNUMBER(IFERROR(SEARCH(Quote!$G$1,A114,1),""))</f>
        <v>0</v>
      </c>
      <c r="C114" s="30" t="str">
        <f>IF(B114=1,COUNTIF($B$1:B114,1),"")</f>
        <v/>
      </c>
      <c r="D114" s="30" t="str">
        <f>IFERROR(INDEX($A$1:$A$10,MATCH(ROWS($C$1:C114),$C$1:$C$10,0)),"")</f>
        <v/>
      </c>
      <c r="F114" s="30">
        <f>--ISNUMBER(IFERROR(SEARCH(Quote!$G$1,E114,1),""))</f>
        <v>0</v>
      </c>
      <c r="G114" s="30" t="str">
        <f>IF(F114=1,COUNTIF($F$1:F114,1),"")</f>
        <v/>
      </c>
      <c r="H114" s="30" t="str">
        <f>IFERROR(INDEX($E$1:$E$15,MATCH(ROWS($G$1:G114),$G$1:$G$15,0)),"")</f>
        <v/>
      </c>
      <c r="I114" s="5" t="s">
        <v>137</v>
      </c>
      <c r="J114" s="30">
        <f>--ISNUMBER(IFERROR(SEARCH(Quote!$G$1,I114,1),""))</f>
        <v>1</v>
      </c>
      <c r="K114" s="30">
        <f>IF(J114=1,COUNTIF($J$1:J114,1),"")</f>
        <v>114</v>
      </c>
      <c r="L114" s="30" t="str">
        <f>IFERROR(INDEX($I$1:$I$500,MATCH(ROWS($K$1:K114),$K$1:$K$500,0)),"")</f>
        <v>Redwood Plastics</v>
      </c>
    </row>
    <row r="115" spans="2:12" x14ac:dyDescent="0.25">
      <c r="B115" s="30">
        <f>--ISNUMBER(IFERROR(SEARCH(Quote!$G$1,A115,1),""))</f>
        <v>0</v>
      </c>
      <c r="C115" s="30" t="str">
        <f>IF(B115=1,COUNTIF($B$1:B115,1),"")</f>
        <v/>
      </c>
      <c r="D115" s="30" t="str">
        <f>IFERROR(INDEX($A$1:$A$10,MATCH(ROWS($C$1:C115),$C$1:$C$10,0)),"")</f>
        <v/>
      </c>
      <c r="F115" s="30">
        <f>--ISNUMBER(IFERROR(SEARCH(Quote!$G$1,E115,1),""))</f>
        <v>0</v>
      </c>
      <c r="G115" s="30" t="str">
        <f>IF(F115=1,COUNTIF($F$1:F115,1),"")</f>
        <v/>
      </c>
      <c r="H115" s="30" t="str">
        <f>IFERROR(INDEX($E$1:$E$15,MATCH(ROWS($G$1:G115),$G$1:$G$15,0)),"")</f>
        <v/>
      </c>
      <c r="I115" s="5" t="s">
        <v>138</v>
      </c>
      <c r="J115" s="30">
        <f>--ISNUMBER(IFERROR(SEARCH(Quote!$G$1,I115,1),""))</f>
        <v>1</v>
      </c>
      <c r="K115" s="30">
        <f>IF(J115=1,COUNTIF($J$1:J115,1),"")</f>
        <v>115</v>
      </c>
      <c r="L115" s="30" t="str">
        <f>IFERROR(INDEX($I$1:$I$500,MATCH(ROWS($K$1:K115),$K$1:$K$500,0)),"")</f>
        <v>Reid Tool Supply</v>
      </c>
    </row>
    <row r="116" spans="2:12" x14ac:dyDescent="0.25">
      <c r="B116" s="30">
        <f>--ISNUMBER(IFERROR(SEARCH(Quote!$G$1,A116,1),""))</f>
        <v>0</v>
      </c>
      <c r="C116" s="30" t="str">
        <f>IF(B116=1,COUNTIF($B$1:B116,1),"")</f>
        <v/>
      </c>
      <c r="D116" s="30" t="str">
        <f>IFERROR(INDEX($A$1:$A$10,MATCH(ROWS($C$1:C116),$C$1:$C$10,0)),"")</f>
        <v/>
      </c>
      <c r="F116" s="30">
        <f>--ISNUMBER(IFERROR(SEARCH(Quote!$G$1,E116,1),""))</f>
        <v>0</v>
      </c>
      <c r="G116" s="30" t="str">
        <f>IF(F116=1,COUNTIF($F$1:F116,1),"")</f>
        <v/>
      </c>
      <c r="H116" s="30" t="str">
        <f>IFERROR(INDEX($E$1:$E$15,MATCH(ROWS($G$1:G116),$G$1:$G$15,0)),"")</f>
        <v/>
      </c>
      <c r="I116" s="5" t="s">
        <v>139</v>
      </c>
      <c r="J116" s="30">
        <f>--ISNUMBER(IFERROR(SEARCH(Quote!$G$1,I116,1),""))</f>
        <v>1</v>
      </c>
      <c r="K116" s="30">
        <f>IF(J116=1,COUNTIF($J$1:J116,1),"")</f>
        <v>116</v>
      </c>
      <c r="L116" s="30" t="str">
        <f>IFERROR(INDEX($I$1:$I$500,MATCH(ROWS($K$1:K116),$K$1:$K$500,0)),"")</f>
        <v>Richmond Steel</v>
      </c>
    </row>
    <row r="117" spans="2:12" x14ac:dyDescent="0.25">
      <c r="B117" s="30">
        <f>--ISNUMBER(IFERROR(SEARCH(Quote!$G$1,A117,1),""))</f>
        <v>0</v>
      </c>
      <c r="C117" s="30" t="str">
        <f>IF(B117=1,COUNTIF($B$1:B117,1),"")</f>
        <v/>
      </c>
      <c r="D117" s="30" t="str">
        <f>IFERROR(INDEX($A$1:$A$10,MATCH(ROWS($C$1:C117),$C$1:$C$10,0)),"")</f>
        <v/>
      </c>
      <c r="F117" s="30">
        <f>--ISNUMBER(IFERROR(SEARCH(Quote!$G$1,E117,1),""))</f>
        <v>0</v>
      </c>
      <c r="G117" s="30" t="str">
        <f>IF(F117=1,COUNTIF($F$1:F117,1),"")</f>
        <v/>
      </c>
      <c r="H117" s="30" t="str">
        <f>IFERROR(INDEX($E$1:$E$15,MATCH(ROWS($G$1:G117),$G$1:$G$15,0)),"")</f>
        <v/>
      </c>
      <c r="I117" s="5" t="s">
        <v>140</v>
      </c>
      <c r="J117" s="30">
        <f>--ISNUMBER(IFERROR(SEARCH(Quote!$G$1,I117,1),""))</f>
        <v>1</v>
      </c>
      <c r="K117" s="30">
        <f>IF(J117=1,COUNTIF($J$1:J117,1),"")</f>
        <v>117</v>
      </c>
      <c r="L117" s="30" t="str">
        <f>IFERROR(INDEX($I$1:$I$500,MATCH(ROWS($K$1:K117),$K$1:$K$500,0)),"")</f>
        <v>Ridsdale Transport</v>
      </c>
    </row>
    <row r="118" spans="2:12" x14ac:dyDescent="0.25">
      <c r="B118" s="30">
        <f>--ISNUMBER(IFERROR(SEARCH(Quote!$G$1,A118,1),""))</f>
        <v>0</v>
      </c>
      <c r="C118" s="30" t="str">
        <f>IF(B118=1,COUNTIF($B$1:B118,1),"")</f>
        <v/>
      </c>
      <c r="D118" s="30" t="str">
        <f>IFERROR(INDEX($A$1:$A$10,MATCH(ROWS($C$1:C118),$C$1:$C$10,0)),"")</f>
        <v/>
      </c>
      <c r="F118" s="30">
        <f>--ISNUMBER(IFERROR(SEARCH(Quote!$G$1,E118,1),""))</f>
        <v>0</v>
      </c>
      <c r="G118" s="30" t="str">
        <f>IF(F118=1,COUNTIF($F$1:F118,1),"")</f>
        <v/>
      </c>
      <c r="H118" s="30" t="str">
        <f>IFERROR(INDEX($E$1:$E$15,MATCH(ROWS($G$1:G118),$G$1:$G$15,0)),"")</f>
        <v/>
      </c>
      <c r="I118" s="5" t="s">
        <v>197</v>
      </c>
      <c r="J118" s="30">
        <f>--ISNUMBER(IFERROR(SEARCH(Quote!$G$1,I118,1),""))</f>
        <v>1</v>
      </c>
      <c r="K118" s="30">
        <f>IF(J118=1,COUNTIF($J$1:J118,1),"")</f>
        <v>118</v>
      </c>
      <c r="L118" s="30" t="str">
        <f>IFERROR(INDEX($I$1:$I$500,MATCH(ROWS($K$1:K118),$K$1:$K$500,0)),"")</f>
        <v>RMD Engineering</v>
      </c>
    </row>
    <row r="119" spans="2:12" x14ac:dyDescent="0.25">
      <c r="B119" s="30">
        <f>--ISNUMBER(IFERROR(SEARCH(Quote!$G$1,A119,1),""))</f>
        <v>0</v>
      </c>
      <c r="C119" s="30" t="str">
        <f>IF(B119=1,COUNTIF($B$1:B119,1),"")</f>
        <v/>
      </c>
      <c r="D119" s="30" t="str">
        <f>IFERROR(INDEX($A$1:$A$10,MATCH(ROWS($C$1:C119),$C$1:$C$10,0)),"")</f>
        <v/>
      </c>
      <c r="F119" s="30">
        <f>--ISNUMBER(IFERROR(SEARCH(Quote!$G$1,E119,1),""))</f>
        <v>0</v>
      </c>
      <c r="G119" s="30" t="str">
        <f>IF(F119=1,COUNTIF($F$1:F119,1),"")</f>
        <v/>
      </c>
      <c r="H119" s="30" t="str">
        <f>IFERROR(INDEX($E$1:$E$15,MATCH(ROWS($G$1:G119),$G$1:$G$15,0)),"")</f>
        <v/>
      </c>
      <c r="I119" s="5" t="s">
        <v>141</v>
      </c>
      <c r="J119" s="30">
        <f>--ISNUMBER(IFERROR(SEARCH(Quote!$G$1,I119,1),""))</f>
        <v>1</v>
      </c>
      <c r="K119" s="30">
        <f>IF(J119=1,COUNTIF($J$1:J119,1),"")</f>
        <v>119</v>
      </c>
      <c r="L119" s="30" t="str">
        <f>IFERROR(INDEX($I$1:$I$500,MATCH(ROWS($K$1:K119),$K$1:$K$500,0)),"")</f>
        <v>Rolark Stainless Steel</v>
      </c>
    </row>
    <row r="120" spans="2:12" x14ac:dyDescent="0.25">
      <c r="B120" s="30">
        <f>--ISNUMBER(IFERROR(SEARCH(Quote!$G$1,A120,1),""))</f>
        <v>0</v>
      </c>
      <c r="C120" s="30" t="str">
        <f>IF(B120=1,COUNTIF($B$1:B120,1),"")</f>
        <v/>
      </c>
      <c r="D120" s="30" t="str">
        <f>IFERROR(INDEX($A$1:$A$10,MATCH(ROWS($C$1:C120),$C$1:$C$10,0)),"")</f>
        <v/>
      </c>
      <c r="F120" s="30">
        <f>--ISNUMBER(IFERROR(SEARCH(Quote!$G$1,E120,1),""))</f>
        <v>0</v>
      </c>
      <c r="G120" s="30" t="str">
        <f>IF(F120=1,COUNTIF($F$1:F120,1),"")</f>
        <v/>
      </c>
      <c r="H120" s="30" t="str">
        <f>IFERROR(INDEX($E$1:$E$15,MATCH(ROWS($G$1:G120),$G$1:$G$15,0)),"")</f>
        <v/>
      </c>
      <c r="I120" s="5" t="s">
        <v>142</v>
      </c>
      <c r="J120" s="30">
        <f>--ISNUMBER(IFERROR(SEARCH(Quote!$G$1,I120,1),""))</f>
        <v>1</v>
      </c>
      <c r="K120" s="30">
        <f>IF(J120=1,COUNTIF($J$1:J120,1),"")</f>
        <v>120</v>
      </c>
      <c r="L120" s="30" t="str">
        <f>IFERROR(INDEX($I$1:$I$500,MATCH(ROWS($K$1:K120),$K$1:$K$500,0)),"")</f>
        <v>Rolled Alloys (Stainless)</v>
      </c>
    </row>
    <row r="121" spans="2:12" x14ac:dyDescent="0.25">
      <c r="B121" s="30">
        <f>--ISNUMBER(IFERROR(SEARCH(Quote!$G$1,A121,1),""))</f>
        <v>0</v>
      </c>
      <c r="C121" s="30" t="str">
        <f>IF(B121=1,COUNTIF($B$1:B121,1),"")</f>
        <v/>
      </c>
      <c r="D121" s="30" t="str">
        <f>IFERROR(INDEX($A$1:$A$10,MATCH(ROWS($C$1:C121),$C$1:$C$10,0)),"")</f>
        <v/>
      </c>
      <c r="F121" s="30">
        <f>--ISNUMBER(IFERROR(SEARCH(Quote!$G$1,E121,1),""))</f>
        <v>0</v>
      </c>
      <c r="G121" s="30" t="str">
        <f>IF(F121=1,COUNTIF($F$1:F121,1),"")</f>
        <v/>
      </c>
      <c r="H121" s="30" t="str">
        <f>IFERROR(INDEX($E$1:$E$15,MATCH(ROWS($G$1:G121),$G$1:$G$15,0)),"")</f>
        <v/>
      </c>
      <c r="I121" s="5" t="s">
        <v>143</v>
      </c>
      <c r="J121" s="30">
        <f>--ISNUMBER(IFERROR(SEARCH(Quote!$G$1,I121,1),""))</f>
        <v>1</v>
      </c>
      <c r="K121" s="30">
        <f>IF(J121=1,COUNTIF($J$1:J121,1),"")</f>
        <v>121</v>
      </c>
      <c r="L121" s="30" t="str">
        <f>IFERROR(INDEX($I$1:$I$500,MATCH(ROWS($K$1:K121),$K$1:$K$500,0)),"")</f>
        <v>Rolled Threads Unlimited LLC</v>
      </c>
    </row>
    <row r="122" spans="2:12" x14ac:dyDescent="0.25">
      <c r="B122" s="30">
        <f>--ISNUMBER(IFERROR(SEARCH(Quote!$G$1,A122,1),""))</f>
        <v>0</v>
      </c>
      <c r="C122" s="30" t="str">
        <f>IF(B122=1,COUNTIF($B$1:B122,1),"")</f>
        <v/>
      </c>
      <c r="D122" s="30" t="str">
        <f>IFERROR(INDEX($A$1:$A$10,MATCH(ROWS($C$1:C122),$C$1:$C$10,0)),"")</f>
        <v/>
      </c>
      <c r="F122" s="30">
        <f>--ISNUMBER(IFERROR(SEARCH(Quote!$G$1,E122,1),""))</f>
        <v>0</v>
      </c>
      <c r="G122" s="30" t="str">
        <f>IF(F122=1,COUNTIF($F$1:F122,1),"")</f>
        <v/>
      </c>
      <c r="H122" s="30" t="str">
        <f>IFERROR(INDEX($E$1:$E$15,MATCH(ROWS($G$1:G122),$G$1:$G$15,0)),"")</f>
        <v/>
      </c>
      <c r="I122" s="5" t="s">
        <v>144</v>
      </c>
      <c r="J122" s="30">
        <f>--ISNUMBER(IFERROR(SEARCH(Quote!$G$1,I122,1),""))</f>
        <v>1</v>
      </c>
      <c r="K122" s="30">
        <f>IF(J122=1,COUNTIF($J$1:J122,1),"")</f>
        <v>122</v>
      </c>
      <c r="L122" s="30" t="str">
        <f>IFERROR(INDEX($I$1:$I$500,MATCH(ROWS($K$1:K122),$K$1:$K$500,0)),"")</f>
        <v>Rosetown Flighting Supply</v>
      </c>
    </row>
    <row r="123" spans="2:12" x14ac:dyDescent="0.25">
      <c r="B123" s="30">
        <f>--ISNUMBER(IFERROR(SEARCH(Quote!$G$1,A123,1),""))</f>
        <v>0</v>
      </c>
      <c r="C123" s="30" t="str">
        <f>IF(B123=1,COUNTIF($B$1:B123,1),"")</f>
        <v/>
      </c>
      <c r="D123" s="30" t="str">
        <f>IFERROR(INDEX($A$1:$A$10,MATCH(ROWS($C$1:C123),$C$1:$C$10,0)),"")</f>
        <v/>
      </c>
      <c r="F123" s="30">
        <f>--ISNUMBER(IFERROR(SEARCH(Quote!$G$1,E123,1),""))</f>
        <v>0</v>
      </c>
      <c r="G123" s="30" t="str">
        <f>IF(F123=1,COUNTIF($F$1:F123,1),"")</f>
        <v/>
      </c>
      <c r="H123" s="30" t="str">
        <f>IFERROR(INDEX($E$1:$E$15,MATCH(ROWS($G$1:G123),$G$1:$G$15,0)),"")</f>
        <v/>
      </c>
      <c r="I123" s="5" t="s">
        <v>145</v>
      </c>
      <c r="J123" s="30">
        <f>--ISNUMBER(IFERROR(SEARCH(Quote!$G$1,I123,1),""))</f>
        <v>1</v>
      </c>
      <c r="K123" s="30">
        <f>IF(J123=1,COUNTIF($J$1:J123,1),"")</f>
        <v>123</v>
      </c>
      <c r="L123" s="30" t="str">
        <f>IFERROR(INDEX($I$1:$I$500,MATCH(ROWS($K$1:K123),$K$1:$K$500,0)),"")</f>
        <v>Roughrider Rigging</v>
      </c>
    </row>
    <row r="124" spans="2:12" x14ac:dyDescent="0.25">
      <c r="B124" s="30">
        <f>--ISNUMBER(IFERROR(SEARCH(Quote!$G$1,A124,1),""))</f>
        <v>0</v>
      </c>
      <c r="C124" s="30" t="str">
        <f>IF(B124=1,COUNTIF($B$1:B124,1),"")</f>
        <v/>
      </c>
      <c r="D124" s="30" t="str">
        <f>IFERROR(INDEX($A$1:$A$10,MATCH(ROWS($C$1:C124),$C$1:$C$10,0)),"")</f>
        <v/>
      </c>
      <c r="F124" s="30">
        <f>--ISNUMBER(IFERROR(SEARCH(Quote!$G$1,E124,1),""))</f>
        <v>0</v>
      </c>
      <c r="G124" s="30" t="str">
        <f>IF(F124=1,COUNTIF($F$1:F124,1),"")</f>
        <v/>
      </c>
      <c r="H124" s="30" t="str">
        <f>IFERROR(INDEX($E$1:$E$15,MATCH(ROWS($G$1:G124),$G$1:$G$15,0)),"")</f>
        <v/>
      </c>
      <c r="I124" s="5" t="s">
        <v>146</v>
      </c>
      <c r="J124" s="30">
        <f>--ISNUMBER(IFERROR(SEARCH(Quote!$G$1,I124,1),""))</f>
        <v>1</v>
      </c>
      <c r="K124" s="30">
        <f>IF(J124=1,COUNTIF($J$1:J124,1),"")</f>
        <v>124</v>
      </c>
      <c r="L124" s="30" t="str">
        <f>IFERROR(INDEX($I$1:$I$500,MATCH(ROWS($K$1:K124),$K$1:$K$500,0)),"")</f>
        <v>Russel Metals</v>
      </c>
    </row>
    <row r="125" spans="2:12" x14ac:dyDescent="0.25">
      <c r="B125" s="30">
        <f>--ISNUMBER(IFERROR(SEARCH(Quote!$G$1,A125,1),""))</f>
        <v>0</v>
      </c>
      <c r="C125" s="30" t="str">
        <f>IF(B125=1,COUNTIF($B$1:B125,1),"")</f>
        <v/>
      </c>
      <c r="D125" s="30" t="str">
        <f>IFERROR(INDEX($A$1:$A$10,MATCH(ROWS($C$1:C125),$C$1:$C$10,0)),"")</f>
        <v/>
      </c>
      <c r="F125" s="30">
        <f>--ISNUMBER(IFERROR(SEARCH(Quote!$G$1,E125,1),""))</f>
        <v>0</v>
      </c>
      <c r="G125" s="30" t="str">
        <f>IF(F125=1,COUNTIF($F$1:F125,1),"")</f>
        <v/>
      </c>
      <c r="H125" s="30" t="str">
        <f>IFERROR(INDEX($E$1:$E$15,MATCH(ROWS($G$1:G125),$G$1:$G$15,0)),"")</f>
        <v/>
      </c>
      <c r="I125" s="5" t="s">
        <v>192</v>
      </c>
      <c r="J125" s="30">
        <f>--ISNUMBER(IFERROR(SEARCH(Quote!$G$1,I125,1),""))</f>
        <v>1</v>
      </c>
      <c r="K125" s="30">
        <f>IF(J125=1,COUNTIF($J$1:J125,1),"")</f>
        <v>125</v>
      </c>
      <c r="L125" s="30" t="str">
        <f>IFERROR(INDEX($I$1:$I$500,MATCH(ROWS($K$1:K125),$K$1:$K$500,0)),"")</f>
        <v>Russel Metals Specialty (Regina)</v>
      </c>
    </row>
    <row r="126" spans="2:12" x14ac:dyDescent="0.25">
      <c r="B126" s="30">
        <f>--ISNUMBER(IFERROR(SEARCH(Quote!$G$1,A126,1),""))</f>
        <v>0</v>
      </c>
      <c r="C126" s="30" t="str">
        <f>IF(B126=1,COUNTIF($B$1:B126,1),"")</f>
        <v/>
      </c>
      <c r="D126" s="30" t="str">
        <f>IFERROR(INDEX($A$1:$A$10,MATCH(ROWS($C$1:C126),$C$1:$C$10,0)),"")</f>
        <v/>
      </c>
      <c r="F126" s="30">
        <f>--ISNUMBER(IFERROR(SEARCH(Quote!$G$1,E126,1),""))</f>
        <v>0</v>
      </c>
      <c r="G126" s="30" t="str">
        <f>IF(F126=1,COUNTIF($F$1:F126,1),"")</f>
        <v/>
      </c>
      <c r="H126" s="30" t="str">
        <f>IFERROR(INDEX($E$1:$E$15,MATCH(ROWS($G$1:G126),$G$1:$G$15,0)),"")</f>
        <v/>
      </c>
      <c r="I126" s="5" t="s">
        <v>147</v>
      </c>
      <c r="J126" s="30">
        <f>--ISNUMBER(IFERROR(SEARCH(Quote!$G$1,I126,1),""))</f>
        <v>1</v>
      </c>
      <c r="K126" s="30">
        <f>IF(J126=1,COUNTIF($J$1:J126,1),"")</f>
        <v>126</v>
      </c>
      <c r="L126" s="30" t="str">
        <f>IFERROR(INDEX($I$1:$I$500,MATCH(ROWS($K$1:K126),$K$1:$K$500,0)),"")</f>
        <v>Russel Specialty Metals</v>
      </c>
    </row>
    <row r="127" spans="2:12" x14ac:dyDescent="0.25">
      <c r="B127" s="30">
        <f>--ISNUMBER(IFERROR(SEARCH(Quote!$G$1,A127,1),""))</f>
        <v>0</v>
      </c>
      <c r="C127" s="30" t="str">
        <f>IF(B127=1,COUNTIF($B$1:B127,1),"")</f>
        <v/>
      </c>
      <c r="D127" s="30" t="str">
        <f>IFERROR(INDEX($A$1:$A$10,MATCH(ROWS($C$1:C127),$C$1:$C$10,0)),"")</f>
        <v/>
      </c>
      <c r="F127" s="30">
        <f>--ISNUMBER(IFERROR(SEARCH(Quote!$G$1,E127,1),""))</f>
        <v>0</v>
      </c>
      <c r="G127" s="30" t="str">
        <f>IF(F127=1,COUNTIF($F$1:F127,1),"")</f>
        <v/>
      </c>
      <c r="H127" s="30" t="str">
        <f>IFERROR(INDEX($E$1:$E$15,MATCH(ROWS($G$1:G127),$G$1:$G$15,0)),"")</f>
        <v/>
      </c>
      <c r="I127" s="5" t="s">
        <v>148</v>
      </c>
      <c r="J127" s="30">
        <f>--ISNUMBER(IFERROR(SEARCH(Quote!$G$1,I127,1),""))</f>
        <v>1</v>
      </c>
      <c r="K127" s="30">
        <f>IF(J127=1,COUNTIF($J$1:J127,1),"")</f>
        <v>127</v>
      </c>
      <c r="L127" s="30" t="str">
        <f>IFERROR(INDEX($I$1:$I$500,MATCH(ROWS($K$1:K127),$K$1:$K$500,0)),"")</f>
        <v>Ryerson</v>
      </c>
    </row>
    <row r="128" spans="2:12" x14ac:dyDescent="0.25">
      <c r="B128" s="30">
        <f>--ISNUMBER(IFERROR(SEARCH(Quote!$G$1,A128,1),""))</f>
        <v>0</v>
      </c>
      <c r="C128" s="30" t="str">
        <f>IF(B128=1,COUNTIF($B$1:B128,1),"")</f>
        <v/>
      </c>
      <c r="D128" s="30" t="str">
        <f>IFERROR(INDEX($A$1:$A$10,MATCH(ROWS($C$1:C128),$C$1:$C$10,0)),"")</f>
        <v/>
      </c>
      <c r="F128" s="30">
        <f>--ISNUMBER(IFERROR(SEARCH(Quote!$G$1,E128,1),""))</f>
        <v>0</v>
      </c>
      <c r="G128" s="30" t="str">
        <f>IF(F128=1,COUNTIF($F$1:F128,1),"")</f>
        <v/>
      </c>
      <c r="H128" s="30" t="str">
        <f>IFERROR(INDEX($E$1:$E$15,MATCH(ROWS($G$1:G128),$G$1:$G$15,0)),"")</f>
        <v/>
      </c>
      <c r="I128" s="5" t="s">
        <v>149</v>
      </c>
      <c r="J128" s="30">
        <f>--ISNUMBER(IFERROR(SEARCH(Quote!$G$1,I128,1),""))</f>
        <v>1</v>
      </c>
      <c r="K128" s="30">
        <f>IF(J128=1,COUNTIF($J$1:J128,1),"")</f>
        <v>128</v>
      </c>
      <c r="L128" s="30" t="str">
        <f>IFERROR(INDEX($I$1:$I$500,MATCH(ROWS($K$1:K128),$K$1:$K$500,0)),"")</f>
        <v xml:space="preserve">Sandvic </v>
      </c>
    </row>
    <row r="129" spans="2:12" x14ac:dyDescent="0.25">
      <c r="B129" s="30">
        <f>--ISNUMBER(IFERROR(SEARCH(Quote!$G$1,A129,1),""))</f>
        <v>0</v>
      </c>
      <c r="C129" s="30" t="str">
        <f>IF(B129=1,COUNTIF($B$1:B129,1),"")</f>
        <v/>
      </c>
      <c r="D129" s="30" t="str">
        <f>IFERROR(INDEX($A$1:$A$10,MATCH(ROWS($C$1:C129),$C$1:$C$10,0)),"")</f>
        <v/>
      </c>
      <c r="F129" s="30">
        <f>--ISNUMBER(IFERROR(SEARCH(Quote!$G$1,E129,1),""))</f>
        <v>0</v>
      </c>
      <c r="G129" s="30" t="str">
        <f>IF(F129=1,COUNTIF($F$1:F129,1),"")</f>
        <v/>
      </c>
      <c r="H129" s="30" t="str">
        <f>IFERROR(INDEX($E$1:$E$15,MATCH(ROWS($G$1:G129),$G$1:$G$15,0)),"")</f>
        <v/>
      </c>
      <c r="I129" s="5" t="s">
        <v>150</v>
      </c>
      <c r="J129" s="30">
        <f>--ISNUMBER(IFERROR(SEARCH(Quote!$G$1,I129,1),""))</f>
        <v>1</v>
      </c>
      <c r="K129" s="30">
        <f>IF(J129=1,COUNTIF($J$1:J129,1),"")</f>
        <v>129</v>
      </c>
      <c r="L129" s="30" t="str">
        <f>IFERROR(INDEX($I$1:$I$500,MATCH(ROWS($K$1:K129),$K$1:$K$500,0)),"")</f>
        <v>Saskatoon Boiler</v>
      </c>
    </row>
    <row r="130" spans="2:12" x14ac:dyDescent="0.25">
      <c r="B130" s="30">
        <f>--ISNUMBER(IFERROR(SEARCH(Quote!$G$1,A130,1),""))</f>
        <v>0</v>
      </c>
      <c r="C130" s="30" t="str">
        <f>IF(B130=1,COUNTIF($B$1:B130,1),"")</f>
        <v/>
      </c>
      <c r="D130" s="30" t="str">
        <f>IFERROR(INDEX($A$1:$A$10,MATCH(ROWS($C$1:C130),$C$1:$C$10,0)),"")</f>
        <v/>
      </c>
      <c r="F130" s="30">
        <f>--ISNUMBER(IFERROR(SEARCH(Quote!$G$1,E130,1),""))</f>
        <v>0</v>
      </c>
      <c r="G130" s="30" t="str">
        <f>IF(F130=1,COUNTIF($F$1:F130,1),"")</f>
        <v/>
      </c>
      <c r="H130" s="30" t="str">
        <f>IFERROR(INDEX($E$1:$E$15,MATCH(ROWS($G$1:G130),$G$1:$G$15,0)),"")</f>
        <v/>
      </c>
      <c r="I130" s="5" t="s">
        <v>151</v>
      </c>
      <c r="J130" s="30">
        <f>--ISNUMBER(IFERROR(SEARCH(Quote!$G$1,I130,1),""))</f>
        <v>1</v>
      </c>
      <c r="K130" s="30">
        <f>IF(J130=1,COUNTIF($J$1:J130,1),"")</f>
        <v>130</v>
      </c>
      <c r="L130" s="30" t="str">
        <f>IFERROR(INDEX($I$1:$I$500,MATCH(ROWS($K$1:K130),$K$1:$K$500,0)),"")</f>
        <v>Saskatoon Custom Powder Coating</v>
      </c>
    </row>
    <row r="131" spans="2:12" x14ac:dyDescent="0.25">
      <c r="B131" s="30">
        <f>--ISNUMBER(IFERROR(SEARCH(Quote!$G$1,A131,1),""))</f>
        <v>0</v>
      </c>
      <c r="C131" s="30" t="str">
        <f>IF(B131=1,COUNTIF($B$1:B131,1),"")</f>
        <v/>
      </c>
      <c r="D131" s="30" t="str">
        <f>IFERROR(INDEX($A$1:$A$10,MATCH(ROWS($C$1:C131),$C$1:$C$10,0)),"")</f>
        <v/>
      </c>
      <c r="F131" s="30">
        <f>--ISNUMBER(IFERROR(SEARCH(Quote!$G$1,E131,1),""))</f>
        <v>0</v>
      </c>
      <c r="G131" s="30" t="str">
        <f>IF(F131=1,COUNTIF($F$1:F131,1),"")</f>
        <v/>
      </c>
      <c r="H131" s="30" t="str">
        <f>IFERROR(INDEX($E$1:$E$15,MATCH(ROWS($G$1:G131),$G$1:$G$15,0)),"")</f>
        <v/>
      </c>
      <c r="I131" s="5" t="s">
        <v>152</v>
      </c>
      <c r="J131" s="30">
        <f>--ISNUMBER(IFERROR(SEARCH(Quote!$G$1,I131,1),""))</f>
        <v>1</v>
      </c>
      <c r="K131" s="30">
        <f>IF(J131=1,COUNTIF($J$1:J131,1),"")</f>
        <v>131</v>
      </c>
      <c r="L131" s="30" t="str">
        <f>IFERROR(INDEX($I$1:$I$500,MATCH(ROWS($K$1:K131),$K$1:$K$500,0)),"")</f>
        <v>Saskatoon Fluid Systems</v>
      </c>
    </row>
    <row r="132" spans="2:12" x14ac:dyDescent="0.25">
      <c r="B132" s="30">
        <f>--ISNUMBER(IFERROR(SEARCH(Quote!$G$1,A132,1),""))</f>
        <v>0</v>
      </c>
      <c r="C132" s="30" t="str">
        <f>IF(B132=1,COUNTIF($B$1:B132,1),"")</f>
        <v/>
      </c>
      <c r="D132" s="30" t="str">
        <f>IFERROR(INDEX($A$1:$A$10,MATCH(ROWS($C$1:C132),$C$1:$C$10,0)),"")</f>
        <v/>
      </c>
      <c r="F132" s="30">
        <f>--ISNUMBER(IFERROR(SEARCH(Quote!$G$1,E132,1),""))</f>
        <v>0</v>
      </c>
      <c r="G132" s="30" t="str">
        <f>IF(F132=1,COUNTIF($F$1:F132,1),"")</f>
        <v/>
      </c>
      <c r="H132" s="30" t="str">
        <f>IFERROR(INDEX($E$1:$E$15,MATCH(ROWS($G$1:G132),$G$1:$G$15,0)),"")</f>
        <v/>
      </c>
      <c r="I132" s="5" t="s">
        <v>153</v>
      </c>
      <c r="J132" s="30">
        <f>--ISNUMBER(IFERROR(SEARCH(Quote!$G$1,I132,1),""))</f>
        <v>1</v>
      </c>
      <c r="K132" s="30">
        <f>IF(J132=1,COUNTIF($J$1:J132,1),"")</f>
        <v>132</v>
      </c>
      <c r="L132" s="30" t="str">
        <f>IFERROR(INDEX($I$1:$I$500,MATCH(ROWS($K$1:K132),$K$1:$K$500,0)),"")</f>
        <v>Saskatoon Metals</v>
      </c>
    </row>
    <row r="133" spans="2:12" x14ac:dyDescent="0.25">
      <c r="B133" s="30">
        <f>--ISNUMBER(IFERROR(SEARCH(Quote!$G$1,A133,1),""))</f>
        <v>0</v>
      </c>
      <c r="C133" s="30" t="str">
        <f>IF(B133=1,COUNTIF($B$1:B133,1),"")</f>
        <v/>
      </c>
      <c r="D133" s="30" t="str">
        <f>IFERROR(INDEX($A$1:$A$10,MATCH(ROWS($C$1:C133),$C$1:$C$10,0)),"")</f>
        <v/>
      </c>
      <c r="F133" s="30">
        <f>--ISNUMBER(IFERROR(SEARCH(Quote!$G$1,E133,1),""))</f>
        <v>0</v>
      </c>
      <c r="G133" s="30" t="str">
        <f>IF(F133=1,COUNTIF($F$1:F133,1),"")</f>
        <v/>
      </c>
      <c r="H133" s="30" t="str">
        <f>IFERROR(INDEX($E$1:$E$15,MATCH(ROWS($G$1:G133),$G$1:$G$15,0)),"")</f>
        <v/>
      </c>
      <c r="I133" s="5" t="s">
        <v>154</v>
      </c>
      <c r="J133" s="30">
        <f>--ISNUMBER(IFERROR(SEARCH(Quote!$G$1,I133,1),""))</f>
        <v>1</v>
      </c>
      <c r="K133" s="30">
        <f>IF(J133=1,COUNTIF($J$1:J133,1),"")</f>
        <v>133</v>
      </c>
      <c r="L133" s="30" t="str">
        <f>IFERROR(INDEX($I$1:$I$500,MATCH(ROWS($K$1:K133),$K$1:$K$500,0)),"")</f>
        <v>Sealum Industries Ltd.</v>
      </c>
    </row>
    <row r="134" spans="2:12" x14ac:dyDescent="0.25">
      <c r="B134" s="30">
        <f>--ISNUMBER(IFERROR(SEARCH(Quote!$G$1,A134,1),""))</f>
        <v>0</v>
      </c>
      <c r="C134" s="30" t="str">
        <f>IF(B134=1,COUNTIF($B$1:B134,1),"")</f>
        <v/>
      </c>
      <c r="D134" s="30" t="str">
        <f>IFERROR(INDEX($A$1:$A$10,MATCH(ROWS($C$1:C134),$C$1:$C$10,0)),"")</f>
        <v/>
      </c>
      <c r="F134" s="30">
        <f>--ISNUMBER(IFERROR(SEARCH(Quote!$G$1,E134,1),""))</f>
        <v>0</v>
      </c>
      <c r="G134" s="30" t="str">
        <f>IF(F134=1,COUNTIF($F$1:F134,1),"")</f>
        <v/>
      </c>
      <c r="H134" s="30" t="str">
        <f>IFERROR(INDEX($E$1:$E$15,MATCH(ROWS($G$1:G134),$G$1:$G$15,0)),"")</f>
        <v/>
      </c>
      <c r="I134" s="5" t="s">
        <v>155</v>
      </c>
      <c r="J134" s="30">
        <f>--ISNUMBER(IFERROR(SEARCH(Quote!$G$1,I134,1),""))</f>
        <v>1</v>
      </c>
      <c r="K134" s="30">
        <f>IF(J134=1,COUNTIF($J$1:J134,1),"")</f>
        <v>134</v>
      </c>
      <c r="L134" s="30" t="str">
        <f>IFERROR(INDEX($I$1:$I$500,MATCH(ROWS($K$1:K134),$K$1:$K$500,0)),"")</f>
        <v xml:space="preserve">Shear Fabrication </v>
      </c>
    </row>
    <row r="135" spans="2:12" x14ac:dyDescent="0.25">
      <c r="B135" s="30">
        <f>--ISNUMBER(IFERROR(SEARCH(Quote!$G$1,A135,1),""))</f>
        <v>0</v>
      </c>
      <c r="C135" s="30" t="str">
        <f>IF(B135=1,COUNTIF($B$1:B135,1),"")</f>
        <v/>
      </c>
      <c r="D135" s="30" t="str">
        <f>IFERROR(INDEX($A$1:$A$10,MATCH(ROWS($C$1:C135),$C$1:$C$10,0)),"")</f>
        <v/>
      </c>
      <c r="F135" s="30">
        <f>--ISNUMBER(IFERROR(SEARCH(Quote!$G$1,E135,1),""))</f>
        <v>0</v>
      </c>
      <c r="G135" s="30" t="str">
        <f>IF(F135=1,COUNTIF($F$1:F135,1),"")</f>
        <v/>
      </c>
      <c r="H135" s="30" t="str">
        <f>IFERROR(INDEX($E$1:$E$15,MATCH(ROWS($G$1:G135),$G$1:$G$15,0)),"")</f>
        <v/>
      </c>
      <c r="I135" s="5" t="s">
        <v>156</v>
      </c>
      <c r="J135" s="30">
        <f>--ISNUMBER(IFERROR(SEARCH(Quote!$G$1,I135,1),""))</f>
        <v>1</v>
      </c>
      <c r="K135" s="30">
        <f>IF(J135=1,COUNTIF($J$1:J135,1),"")</f>
        <v>135</v>
      </c>
      <c r="L135" s="30" t="str">
        <f>IFERROR(INDEX($I$1:$I$500,MATCH(ROWS($K$1:K135),$K$1:$K$500,0)),"")</f>
        <v>Siemens Laserworks</v>
      </c>
    </row>
    <row r="136" spans="2:12" x14ac:dyDescent="0.25">
      <c r="B136" s="30">
        <f>--ISNUMBER(IFERROR(SEARCH(Quote!$G$1,A136,1),""))</f>
        <v>0</v>
      </c>
      <c r="C136" s="30" t="str">
        <f>IF(B136=1,COUNTIF($B$1:B136,1),"")</f>
        <v/>
      </c>
      <c r="D136" s="30" t="str">
        <f>IFERROR(INDEX($A$1:$A$10,MATCH(ROWS($C$1:C136),$C$1:$C$10,0)),"")</f>
        <v/>
      </c>
      <c r="F136" s="30">
        <f>--ISNUMBER(IFERROR(SEARCH(Quote!$G$1,E136,1),""))</f>
        <v>0</v>
      </c>
      <c r="G136" s="30" t="str">
        <f>IF(F136=1,COUNTIF($F$1:F136,1),"")</f>
        <v/>
      </c>
      <c r="H136" s="30" t="str">
        <f>IFERROR(INDEX($E$1:$E$15,MATCH(ROWS($G$1:G136),$G$1:$G$15,0)),"")</f>
        <v/>
      </c>
      <c r="I136" s="5" t="s">
        <v>157</v>
      </c>
      <c r="J136" s="30">
        <f>--ISNUMBER(IFERROR(SEARCH(Quote!$G$1,I136,1),""))</f>
        <v>1</v>
      </c>
      <c r="K136" s="30">
        <f>IF(J136=1,COUNTIF($J$1:J136,1),"")</f>
        <v>136</v>
      </c>
      <c r="L136" s="30" t="str">
        <f>IFERROR(INDEX($I$1:$I$500,MATCH(ROWS($K$1:K136),$K$1:$K$500,0)),"")</f>
        <v>Skeans</v>
      </c>
    </row>
    <row r="137" spans="2:12" x14ac:dyDescent="0.25">
      <c r="B137" s="30">
        <f>--ISNUMBER(IFERROR(SEARCH(Quote!$G$1,A137,1),""))</f>
        <v>0</v>
      </c>
      <c r="C137" s="30" t="str">
        <f>IF(B137=1,COUNTIF($B$1:B137,1),"")</f>
        <v/>
      </c>
      <c r="D137" s="30" t="str">
        <f>IFERROR(INDEX($A$1:$A$10,MATCH(ROWS($C$1:C137),$C$1:$C$10,0)),"")</f>
        <v/>
      </c>
      <c r="F137" s="30">
        <f>--ISNUMBER(IFERROR(SEARCH(Quote!$G$1,E137,1),""))</f>
        <v>0</v>
      </c>
      <c r="G137" s="30" t="str">
        <f>IF(F137=1,COUNTIF($F$1:F137,1),"")</f>
        <v/>
      </c>
      <c r="H137" s="30" t="str">
        <f>IFERROR(INDEX($E$1:$E$15,MATCH(ROWS($G$1:G137),$G$1:$G$15,0)),"")</f>
        <v/>
      </c>
      <c r="I137" s="5" t="s">
        <v>158</v>
      </c>
      <c r="J137" s="30">
        <f>--ISNUMBER(IFERROR(SEARCH(Quote!$G$1,I137,1),""))</f>
        <v>1</v>
      </c>
      <c r="K137" s="30">
        <f>IF(J137=1,COUNTIF($J$1:J137,1),"")</f>
        <v>137</v>
      </c>
      <c r="L137" s="30" t="str">
        <f>IFERROR(INDEX($I$1:$I$500,MATCH(ROWS($K$1:K137),$K$1:$K$500,0)),"")</f>
        <v>Smith Industries</v>
      </c>
    </row>
    <row r="138" spans="2:12" x14ac:dyDescent="0.25">
      <c r="B138" s="30">
        <f>--ISNUMBER(IFERROR(SEARCH(Quote!$G$1,A138,1),""))</f>
        <v>0</v>
      </c>
      <c r="C138" s="30" t="str">
        <f>IF(B138=1,COUNTIF($B$1:B138,1),"")</f>
        <v/>
      </c>
      <c r="D138" s="30" t="str">
        <f>IFERROR(INDEX($A$1:$A$10,MATCH(ROWS($C$1:C138),$C$1:$C$10,0)),"")</f>
        <v/>
      </c>
      <c r="F138" s="30">
        <f>--ISNUMBER(IFERROR(SEARCH(Quote!$G$1,E138,1),""))</f>
        <v>0</v>
      </c>
      <c r="G138" s="30" t="str">
        <f>IF(F138=1,COUNTIF($F$1:F138,1),"")</f>
        <v/>
      </c>
      <c r="H138" s="30" t="str">
        <f>IFERROR(INDEX($E$1:$E$15,MATCH(ROWS($G$1:G138),$G$1:$G$15,0)),"")</f>
        <v/>
      </c>
      <c r="I138" s="5" t="s">
        <v>159</v>
      </c>
      <c r="J138" s="30">
        <f>--ISNUMBER(IFERROR(SEARCH(Quote!$G$1,I138,1),""))</f>
        <v>1</v>
      </c>
      <c r="K138" s="30">
        <f>IF(J138=1,COUNTIF($J$1:J138,1),"")</f>
        <v>138</v>
      </c>
      <c r="L138" s="30" t="str">
        <f>IFERROR(INDEX($I$1:$I$500,MATCH(ROWS($K$1:K138),$K$1:$K$500,0)),"")</f>
        <v>Snap-on</v>
      </c>
    </row>
    <row r="139" spans="2:12" x14ac:dyDescent="0.25">
      <c r="B139" s="30">
        <f>--ISNUMBER(IFERROR(SEARCH(Quote!$G$1,A139,1),""))</f>
        <v>0</v>
      </c>
      <c r="C139" s="30" t="str">
        <f>IF(B139=1,COUNTIF($B$1:B139,1),"")</f>
        <v/>
      </c>
      <c r="D139" s="30" t="str">
        <f>IFERROR(INDEX($A$1:$A$10,MATCH(ROWS($C$1:C139),$C$1:$C$10,0)),"")</f>
        <v/>
      </c>
      <c r="F139" s="30">
        <f>--ISNUMBER(IFERROR(SEARCH(Quote!$G$1,E139,1),""))</f>
        <v>0</v>
      </c>
      <c r="G139" s="30" t="str">
        <f>IF(F139=1,COUNTIF($F$1:F139,1),"")</f>
        <v/>
      </c>
      <c r="H139" s="30" t="str">
        <f>IFERROR(INDEX($E$1:$E$15,MATCH(ROWS($G$1:G139),$G$1:$G$15,0)),"")</f>
        <v/>
      </c>
      <c r="I139" s="5" t="s">
        <v>160</v>
      </c>
      <c r="J139" s="30">
        <f>--ISNUMBER(IFERROR(SEARCH(Quote!$G$1,I139,1),""))</f>
        <v>1</v>
      </c>
      <c r="K139" s="30">
        <f>IF(J139=1,COUNTIF($J$1:J139,1),"")</f>
        <v>139</v>
      </c>
      <c r="L139" s="30" t="str">
        <f>IFERROR(INDEX($I$1:$I$500,MATCH(ROWS($K$1:K139),$K$1:$K$500,0)),"")</f>
        <v>Spaenaur</v>
      </c>
    </row>
    <row r="140" spans="2:12" x14ac:dyDescent="0.25">
      <c r="B140" s="30">
        <f>--ISNUMBER(IFERROR(SEARCH(Quote!$G$1,A140,1),""))</f>
        <v>0</v>
      </c>
      <c r="C140" s="30" t="str">
        <f>IF(B140=1,COUNTIF($B$1:B140,1),"")</f>
        <v/>
      </c>
      <c r="D140" s="30" t="str">
        <f>IFERROR(INDEX($A$1:$A$10,MATCH(ROWS($C$1:C140),$C$1:$C$10,0)),"")</f>
        <v/>
      </c>
      <c r="F140" s="30">
        <f>--ISNUMBER(IFERROR(SEARCH(Quote!$G$1,E140,1),""))</f>
        <v>0</v>
      </c>
      <c r="G140" s="30" t="str">
        <f>IF(F140=1,COUNTIF($F$1:F140,1),"")</f>
        <v/>
      </c>
      <c r="H140" s="30" t="str">
        <f>IFERROR(INDEX($E$1:$E$15,MATCH(ROWS($G$1:G140),$G$1:$G$15,0)),"")</f>
        <v/>
      </c>
      <c r="I140" s="5" t="s">
        <v>161</v>
      </c>
      <c r="J140" s="30">
        <f>--ISNUMBER(IFERROR(SEARCH(Quote!$G$1,I140,1),""))</f>
        <v>1</v>
      </c>
      <c r="K140" s="30">
        <f>IF(J140=1,COUNTIF($J$1:J140,1),"")</f>
        <v>140</v>
      </c>
      <c r="L140" s="30" t="str">
        <f>IFERROR(INDEX($I$1:$I$500,MATCH(ROWS($K$1:K140),$K$1:$K$500,0)),"")</f>
        <v>Spartan Controls</v>
      </c>
    </row>
    <row r="141" spans="2:12" x14ac:dyDescent="0.25">
      <c r="B141" s="30">
        <f>--ISNUMBER(IFERROR(SEARCH(Quote!$G$1,A141,1),""))</f>
        <v>0</v>
      </c>
      <c r="C141" s="30" t="str">
        <f>IF(B141=1,COUNTIF($B$1:B141,1),"")</f>
        <v/>
      </c>
      <c r="D141" s="30" t="str">
        <f>IFERROR(INDEX($A$1:$A$10,MATCH(ROWS($C$1:C141),$C$1:$C$10,0)),"")</f>
        <v/>
      </c>
      <c r="F141" s="30">
        <f>--ISNUMBER(IFERROR(SEARCH(Quote!$G$1,E141,1),""))</f>
        <v>0</v>
      </c>
      <c r="G141" s="30" t="str">
        <f>IF(F141=1,COUNTIF($F$1:F141,1),"")</f>
        <v/>
      </c>
      <c r="H141" s="30" t="str">
        <f>IFERROR(INDEX($E$1:$E$15,MATCH(ROWS($G$1:G141),$G$1:$G$15,0)),"")</f>
        <v/>
      </c>
      <c r="I141" s="5" t="s">
        <v>162</v>
      </c>
      <c r="J141" s="30">
        <f>--ISNUMBER(IFERROR(SEARCH(Quote!$G$1,I141,1),""))</f>
        <v>1</v>
      </c>
      <c r="K141" s="30">
        <f>IF(J141=1,COUNTIF($J$1:J141,1),"")</f>
        <v>141</v>
      </c>
      <c r="L141" s="30" t="str">
        <f>IFERROR(INDEX($I$1:$I$500,MATCH(ROWS($K$1:K141),$K$1:$K$500,0)),"")</f>
        <v>Springs &amp; Things</v>
      </c>
    </row>
    <row r="142" spans="2:12" x14ac:dyDescent="0.25">
      <c r="B142" s="30">
        <f>--ISNUMBER(IFERROR(SEARCH(Quote!$G$1,A142,1),""))</f>
        <v>0</v>
      </c>
      <c r="C142" s="30" t="str">
        <f>IF(B142=1,COUNTIF($B$1:B142,1),"")</f>
        <v/>
      </c>
      <c r="D142" s="30" t="str">
        <f>IFERROR(INDEX($A$1:$A$10,MATCH(ROWS($C$1:C142),$C$1:$C$10,0)),"")</f>
        <v/>
      </c>
      <c r="F142" s="30">
        <f>--ISNUMBER(IFERROR(SEARCH(Quote!$G$1,E142,1),""))</f>
        <v>0</v>
      </c>
      <c r="G142" s="30" t="str">
        <f>IF(F142=1,COUNTIF($F$1:F142,1),"")</f>
        <v/>
      </c>
      <c r="H142" s="30" t="str">
        <f>IFERROR(INDEX($E$1:$E$15,MATCH(ROWS($G$1:G142),$G$1:$G$15,0)),"")</f>
        <v/>
      </c>
      <c r="I142" s="5" t="s">
        <v>163</v>
      </c>
      <c r="J142" s="30">
        <f>--ISNUMBER(IFERROR(SEARCH(Quote!$G$1,I142,1),""))</f>
        <v>1</v>
      </c>
      <c r="K142" s="30">
        <f>IF(J142=1,COUNTIF($J$1:J142,1),"")</f>
        <v>142</v>
      </c>
      <c r="L142" s="30" t="str">
        <f>IFERROR(INDEX($I$1:$I$500,MATCH(ROWS($K$1:K142),$K$1:$K$500,0)),"")</f>
        <v>Steel-Craft Door</v>
      </c>
    </row>
    <row r="143" spans="2:12" x14ac:dyDescent="0.25">
      <c r="B143" s="30">
        <f>--ISNUMBER(IFERROR(SEARCH(Quote!$G$1,A143,1),""))</f>
        <v>0</v>
      </c>
      <c r="C143" s="30" t="str">
        <f>IF(B143=1,COUNTIF($B$1:B143,1),"")</f>
        <v/>
      </c>
      <c r="D143" s="30" t="str">
        <f>IFERROR(INDEX($A$1:$A$10,MATCH(ROWS($C$1:C143),$C$1:$C$10,0)),"")</f>
        <v/>
      </c>
      <c r="F143" s="30">
        <f>--ISNUMBER(IFERROR(SEARCH(Quote!$G$1,E143,1),""))</f>
        <v>0</v>
      </c>
      <c r="G143" s="30" t="str">
        <f>IF(F143=1,COUNTIF($F$1:F143,1),"")</f>
        <v/>
      </c>
      <c r="H143" s="30" t="str">
        <f>IFERROR(INDEX($E$1:$E$15,MATCH(ROWS($G$1:G143),$G$1:$G$15,0)),"")</f>
        <v/>
      </c>
      <c r="I143" s="5" t="s">
        <v>164</v>
      </c>
      <c r="J143" s="30">
        <f>--ISNUMBER(IFERROR(SEARCH(Quote!$G$1,I143,1),""))</f>
        <v>1</v>
      </c>
      <c r="K143" s="30">
        <f>IF(J143=1,COUNTIF($J$1:J143,1),"")</f>
        <v>143</v>
      </c>
      <c r="L143" s="30" t="str">
        <f>IFERROR(INDEX($I$1:$I$500,MATCH(ROWS($K$1:K143),$K$1:$K$500,0)),"")</f>
        <v>Steelmet Supply</v>
      </c>
    </row>
    <row r="144" spans="2:12" x14ac:dyDescent="0.25">
      <c r="B144" s="30">
        <f>--ISNUMBER(IFERROR(SEARCH(Quote!$G$1,A144,1),""))</f>
        <v>0</v>
      </c>
      <c r="C144" s="30" t="str">
        <f>IF(B144=1,COUNTIF($B$1:B144,1),"")</f>
        <v/>
      </c>
      <c r="D144" s="30" t="str">
        <f>IFERROR(INDEX($A$1:$A$10,MATCH(ROWS($C$1:C144),$C$1:$C$10,0)),"")</f>
        <v/>
      </c>
      <c r="F144" s="30">
        <f>--ISNUMBER(IFERROR(SEARCH(Quote!$G$1,E144,1),""))</f>
        <v>0</v>
      </c>
      <c r="G144" s="30" t="str">
        <f>IF(F144=1,COUNTIF($F$1:F144,1),"")</f>
        <v/>
      </c>
      <c r="H144" s="30" t="str">
        <f>IFERROR(INDEX($E$1:$E$15,MATCH(ROWS($G$1:G144),$G$1:$G$15,0)),"")</f>
        <v/>
      </c>
      <c r="I144" s="5" t="s">
        <v>193</v>
      </c>
      <c r="J144" s="30">
        <f>--ISNUMBER(IFERROR(SEARCH(Quote!$G$1,I144,1),""))</f>
        <v>1</v>
      </c>
      <c r="K144" s="30">
        <f>IF(J144=1,COUNTIF($J$1:J144,1),"")</f>
        <v>144</v>
      </c>
      <c r="L144" s="30" t="str">
        <f>IFERROR(INDEX($I$1:$I$500,MATCH(ROWS($K$1:K144),$K$1:$K$500,0)),"")</f>
        <v>Stonecor</v>
      </c>
    </row>
    <row r="145" spans="2:12" x14ac:dyDescent="0.25">
      <c r="B145" s="30">
        <f>--ISNUMBER(IFERROR(SEARCH(Quote!$G$1,A145,1),""))</f>
        <v>0</v>
      </c>
      <c r="C145" s="30" t="str">
        <f>IF(B145=1,COUNTIF($B$1:B145,1),"")</f>
        <v/>
      </c>
      <c r="D145" s="30" t="str">
        <f>IFERROR(INDEX($A$1:$A$10,MATCH(ROWS($C$1:C145),$C$1:$C$10,0)),"")</f>
        <v/>
      </c>
      <c r="F145" s="30">
        <f>--ISNUMBER(IFERROR(SEARCH(Quote!$G$1,E145,1),""))</f>
        <v>0</v>
      </c>
      <c r="G145" s="30" t="str">
        <f>IF(F145=1,COUNTIF($F$1:F145,1),"")</f>
        <v/>
      </c>
      <c r="H145" s="30" t="str">
        <f>IFERROR(INDEX($E$1:$E$15,MATCH(ROWS($G$1:G145),$G$1:$G$15,0)),"")</f>
        <v/>
      </c>
      <c r="I145" s="5" t="s">
        <v>165</v>
      </c>
      <c r="J145" s="30">
        <f>--ISNUMBER(IFERROR(SEARCH(Quote!$G$1,I145,1),""))</f>
        <v>1</v>
      </c>
      <c r="K145" s="30">
        <f>IF(J145=1,COUNTIF($J$1:J145,1),"")</f>
        <v>145</v>
      </c>
      <c r="L145" s="30" t="str">
        <f>IFERROR(INDEX($I$1:$I$500,MATCH(ROWS($K$1:K145),$K$1:$K$500,0)),"")</f>
        <v>Sunsource Mobile</v>
      </c>
    </row>
    <row r="146" spans="2:12" x14ac:dyDescent="0.25">
      <c r="B146" s="30">
        <f>--ISNUMBER(IFERROR(SEARCH(Quote!$G$1,A146,1),""))</f>
        <v>0</v>
      </c>
      <c r="C146" s="30" t="str">
        <f>IF(B146=1,COUNTIF($B$1:B146,1),"")</f>
        <v/>
      </c>
      <c r="D146" s="30" t="str">
        <f>IFERROR(INDEX($A$1:$A$10,MATCH(ROWS($C$1:C146),$C$1:$C$10,0)),"")</f>
        <v/>
      </c>
      <c r="F146" s="30">
        <f>--ISNUMBER(IFERROR(SEARCH(Quote!$G$1,E146,1),""))</f>
        <v>0</v>
      </c>
      <c r="G146" s="30" t="str">
        <f>IF(F146=1,COUNTIF($F$1:F146,1),"")</f>
        <v/>
      </c>
      <c r="H146" s="30" t="str">
        <f>IFERROR(INDEX($E$1:$E$15,MATCH(ROWS($G$1:G146),$G$1:$G$15,0)),"")</f>
        <v/>
      </c>
      <c r="I146" s="5" t="s">
        <v>166</v>
      </c>
      <c r="J146" s="30">
        <f>--ISNUMBER(IFERROR(SEARCH(Quote!$G$1,I146,1),""))</f>
        <v>1</v>
      </c>
      <c r="K146" s="30">
        <f>IF(J146=1,COUNTIF($J$1:J146,1),"")</f>
        <v>146</v>
      </c>
      <c r="L146" s="30" t="str">
        <f>IFERROR(INDEX($I$1:$I$500,MATCH(ROWS($K$1:K146),$K$1:$K$500,0)),"")</f>
        <v>Superior Safety</v>
      </c>
    </row>
    <row r="147" spans="2:12" x14ac:dyDescent="0.25">
      <c r="B147" s="30">
        <f>--ISNUMBER(IFERROR(SEARCH(Quote!$G$1,A147,1),""))</f>
        <v>0</v>
      </c>
      <c r="C147" s="30" t="str">
        <f>IF(B147=1,COUNTIF($B$1:B147,1),"")</f>
        <v/>
      </c>
      <c r="D147" s="30" t="str">
        <f>IFERROR(INDEX($A$1:$A$10,MATCH(ROWS($C$1:C147),$C$1:$C$10,0)),"")</f>
        <v/>
      </c>
      <c r="F147" s="30">
        <f>--ISNUMBER(IFERROR(SEARCH(Quote!$G$1,E147,1),""))</f>
        <v>0</v>
      </c>
      <c r="G147" s="30" t="str">
        <f>IF(F147=1,COUNTIF($F$1:F147,1),"")</f>
        <v/>
      </c>
      <c r="H147" s="30" t="str">
        <f>IFERROR(INDEX($E$1:$E$15,MATCH(ROWS($G$1:G147),$G$1:$G$15,0)),"")</f>
        <v/>
      </c>
      <c r="I147" s="5" t="s">
        <v>194</v>
      </c>
      <c r="J147" s="30">
        <f>--ISNUMBER(IFERROR(SEARCH(Quote!$G$1,I147,1),""))</f>
        <v>1</v>
      </c>
      <c r="K147" s="30">
        <f>IF(J147=1,COUNTIF($J$1:J147,1),"")</f>
        <v>147</v>
      </c>
      <c r="L147" s="30" t="str">
        <f>IFERROR(INDEX($I$1:$I$500,MATCH(ROWS($K$1:K147),$K$1:$K$500,0)),"")</f>
        <v>Surpresseur 4s Inc.</v>
      </c>
    </row>
    <row r="148" spans="2:12" x14ac:dyDescent="0.25">
      <c r="B148" s="30">
        <f>--ISNUMBER(IFERROR(SEARCH(Quote!$G$1,A148,1),""))</f>
        <v>0</v>
      </c>
      <c r="C148" s="30" t="str">
        <f>IF(B148=1,COUNTIF($B$1:B148,1),"")</f>
        <v/>
      </c>
      <c r="D148" s="30" t="str">
        <f>IFERROR(INDEX($A$1:$A$10,MATCH(ROWS($C$1:C148),$C$1:$C$10,0)),"")</f>
        <v/>
      </c>
      <c r="F148" s="30">
        <f>--ISNUMBER(IFERROR(SEARCH(Quote!$G$1,E148,1),""))</f>
        <v>0</v>
      </c>
      <c r="G148" s="30" t="str">
        <f>IF(F148=1,COUNTIF($F$1:F148,1),"")</f>
        <v/>
      </c>
      <c r="H148" s="30" t="str">
        <f>IFERROR(INDEX($E$1:$E$15,MATCH(ROWS($G$1:G148),$G$1:$G$15,0)),"")</f>
        <v/>
      </c>
      <c r="I148" s="5" t="s">
        <v>167</v>
      </c>
      <c r="J148" s="30">
        <f>--ISNUMBER(IFERROR(SEARCH(Quote!$G$1,I148,1),""))</f>
        <v>1</v>
      </c>
      <c r="K148" s="30">
        <f>IF(J148=1,COUNTIF($J$1:J148,1),"")</f>
        <v>148</v>
      </c>
      <c r="L148" s="30" t="str">
        <f>IFERROR(INDEX($I$1:$I$500,MATCH(ROWS($K$1:K148),$K$1:$K$500,0)),"")</f>
        <v>Taylor Tool Works</v>
      </c>
    </row>
    <row r="149" spans="2:12" x14ac:dyDescent="0.25">
      <c r="B149" s="30">
        <f>--ISNUMBER(IFERROR(SEARCH(Quote!$G$1,A149,1),""))</f>
        <v>0</v>
      </c>
      <c r="C149" s="30" t="str">
        <f>IF(B149=1,COUNTIF($B$1:B149,1),"")</f>
        <v/>
      </c>
      <c r="D149" s="30" t="str">
        <f>IFERROR(INDEX($A$1:$A$10,MATCH(ROWS($C$1:C149),$C$1:$C$10,0)),"")</f>
        <v/>
      </c>
      <c r="F149" s="30">
        <f>--ISNUMBER(IFERROR(SEARCH(Quote!$G$1,E149,1),""))</f>
        <v>0</v>
      </c>
      <c r="G149" s="30" t="str">
        <f>IF(F149=1,COUNTIF($F$1:F149,1),"")</f>
        <v/>
      </c>
      <c r="H149" s="30" t="str">
        <f>IFERROR(INDEX($E$1:$E$15,MATCH(ROWS($G$1:G149),$G$1:$G$15,0)),"")</f>
        <v/>
      </c>
      <c r="I149" s="5" t="s">
        <v>168</v>
      </c>
      <c r="J149" s="30">
        <f>--ISNUMBER(IFERROR(SEARCH(Quote!$G$1,I149,1),""))</f>
        <v>1</v>
      </c>
      <c r="K149" s="30">
        <f>IF(J149=1,COUNTIF($J$1:J149,1),"")</f>
        <v>149</v>
      </c>
      <c r="L149" s="30" t="str">
        <f>IFERROR(INDEX($I$1:$I$500,MATCH(ROWS($K$1:K149),$K$1:$K$500,0)),"")</f>
        <v>Team Tube</v>
      </c>
    </row>
    <row r="150" spans="2:12" x14ac:dyDescent="0.25">
      <c r="B150" s="30">
        <f>--ISNUMBER(IFERROR(SEARCH(Quote!$G$1,A150,1),""))</f>
        <v>0</v>
      </c>
      <c r="C150" s="30" t="str">
        <f>IF(B150=1,COUNTIF($B$1:B150,1),"")</f>
        <v/>
      </c>
      <c r="D150" s="30" t="str">
        <f>IFERROR(INDEX($A$1:$A$10,MATCH(ROWS($C$1:C150),$C$1:$C$10,0)),"")</f>
        <v/>
      </c>
      <c r="F150" s="30">
        <f>--ISNUMBER(IFERROR(SEARCH(Quote!$G$1,E150,1),""))</f>
        <v>0</v>
      </c>
      <c r="G150" s="30" t="str">
        <f>IF(F150=1,COUNTIF($F$1:F150,1),"")</f>
        <v/>
      </c>
      <c r="H150" s="30" t="str">
        <f>IFERROR(INDEX($E$1:$E$15,MATCH(ROWS($G$1:G150),$G$1:$G$15,0)),"")</f>
        <v/>
      </c>
      <c r="I150" s="5" t="s">
        <v>169</v>
      </c>
      <c r="J150" s="30">
        <f>--ISNUMBER(IFERROR(SEARCH(Quote!$G$1,I150,1),""))</f>
        <v>1</v>
      </c>
      <c r="K150" s="30">
        <f>IF(J150=1,COUNTIF($J$1:J150,1),"")</f>
        <v>150</v>
      </c>
      <c r="L150" s="30" t="str">
        <f>IFERROR(INDEX($I$1:$I$500,MATCH(ROWS($K$1:K150),$K$1:$K$500,0)),"")</f>
        <v>Teds Power Tool Repair</v>
      </c>
    </row>
    <row r="151" spans="2:12" x14ac:dyDescent="0.25">
      <c r="B151" s="30">
        <f>--ISNUMBER(IFERROR(SEARCH(Quote!$G$1,A151,1),""))</f>
        <v>0</v>
      </c>
      <c r="C151" s="30" t="str">
        <f>IF(B151=1,COUNTIF($B$1:B151,1),"")</f>
        <v/>
      </c>
      <c r="D151" s="30" t="str">
        <f>IFERROR(INDEX($A$1:$A$10,MATCH(ROWS($C$1:C151),$C$1:$C$10,0)),"")</f>
        <v/>
      </c>
      <c r="F151" s="30">
        <f>--ISNUMBER(IFERROR(SEARCH(Quote!$G$1,E151,1),""))</f>
        <v>0</v>
      </c>
      <c r="G151" s="30" t="str">
        <f>IF(F151=1,COUNTIF($F$1:F151,1),"")</f>
        <v/>
      </c>
      <c r="H151" s="30" t="str">
        <f>IFERROR(INDEX($E$1:$E$15,MATCH(ROWS($G$1:G151),$G$1:$G$15,0)),"")</f>
        <v/>
      </c>
      <c r="I151" s="5" t="s">
        <v>170</v>
      </c>
      <c r="J151" s="30">
        <f>--ISNUMBER(IFERROR(SEARCH(Quote!$G$1,I151,1),""))</f>
        <v>1</v>
      </c>
      <c r="K151" s="30">
        <f>IF(J151=1,COUNTIF($J$1:J151,1),"")</f>
        <v>151</v>
      </c>
      <c r="L151" s="30" t="str">
        <f>IFERROR(INDEX($I$1:$I$500,MATCH(ROWS($K$1:K151),$K$1:$K$500,0)),"")</f>
        <v>Thermex Metal Treating</v>
      </c>
    </row>
    <row r="152" spans="2:12" x14ac:dyDescent="0.25">
      <c r="B152" s="30">
        <f>--ISNUMBER(IFERROR(SEARCH(Quote!$G$1,A152,1),""))</f>
        <v>0</v>
      </c>
      <c r="C152" s="30" t="str">
        <f>IF(B152=1,COUNTIF($B$1:B152,1),"")</f>
        <v/>
      </c>
      <c r="D152" s="30" t="str">
        <f>IFERROR(INDEX($A$1:$A$10,MATCH(ROWS($C$1:C152),$C$1:$C$10,0)),"")</f>
        <v/>
      </c>
      <c r="F152" s="30">
        <f>--ISNUMBER(IFERROR(SEARCH(Quote!$G$1,E152,1),""))</f>
        <v>0</v>
      </c>
      <c r="G152" s="30" t="str">
        <f>IF(F152=1,COUNTIF($F$1:F152,1),"")</f>
        <v/>
      </c>
      <c r="H152" s="30" t="str">
        <f>IFERROR(INDEX($E$1:$E$15,MATCH(ROWS($G$1:G152),$G$1:$G$15,0)),"")</f>
        <v/>
      </c>
      <c r="I152" s="5" t="s">
        <v>171</v>
      </c>
      <c r="J152" s="30">
        <f>--ISNUMBER(IFERROR(SEARCH(Quote!$G$1,I152,1),""))</f>
        <v>1</v>
      </c>
      <c r="K152" s="30">
        <f>IF(J152=1,COUNTIF($J$1:J152,1),"")</f>
        <v>152</v>
      </c>
      <c r="L152" s="30" t="str">
        <f>IFERROR(INDEX($I$1:$I$500,MATCH(ROWS($K$1:K152),$K$1:$K$500,0)),"")</f>
        <v>Tipco</v>
      </c>
    </row>
    <row r="153" spans="2:12" x14ac:dyDescent="0.25">
      <c r="B153" s="30">
        <f>--ISNUMBER(IFERROR(SEARCH(Quote!$G$1,A153,1),""))</f>
        <v>0</v>
      </c>
      <c r="C153" s="30" t="str">
        <f>IF(B153=1,COUNTIF($B$1:B153,1),"")</f>
        <v/>
      </c>
      <c r="D153" s="30" t="str">
        <f>IFERROR(INDEX($A$1:$A$10,MATCH(ROWS($C$1:C153),$C$1:$C$10,0)),"")</f>
        <v/>
      </c>
      <c r="F153" s="30">
        <f>--ISNUMBER(IFERROR(SEARCH(Quote!$G$1,E153,1),""))</f>
        <v>0</v>
      </c>
      <c r="G153" s="30" t="str">
        <f>IF(F153=1,COUNTIF($F$1:F153,1),"")</f>
        <v/>
      </c>
      <c r="H153" s="30" t="str">
        <f>IFERROR(INDEX($E$1:$E$15,MATCH(ROWS($G$1:G153),$G$1:$G$15,0)),"")</f>
        <v/>
      </c>
      <c r="I153" s="5" t="s">
        <v>195</v>
      </c>
      <c r="J153" s="30">
        <f>--ISNUMBER(IFERROR(SEARCH(Quote!$G$1,I153,1),""))</f>
        <v>1</v>
      </c>
      <c r="K153" s="30">
        <f>IF(J153=1,COUNTIF($J$1:J153,1),"")</f>
        <v>153</v>
      </c>
      <c r="L153" s="30" t="str">
        <f>IFERROR(INDEX($I$1:$I$500,MATCH(ROWS($K$1:K153),$K$1:$K$500,0)),"")</f>
        <v>Titan Products Group</v>
      </c>
    </row>
    <row r="154" spans="2:12" x14ac:dyDescent="0.25">
      <c r="B154" s="30">
        <f>--ISNUMBER(IFERROR(SEARCH(Quote!$G$1,A154,1),""))</f>
        <v>0</v>
      </c>
      <c r="C154" s="30" t="str">
        <f>IF(B154=1,COUNTIF($B$1:B154,1),"")</f>
        <v/>
      </c>
      <c r="D154" s="30" t="str">
        <f>IFERROR(INDEX($A$1:$A$10,MATCH(ROWS($C$1:C154),$C$1:$C$10,0)),"")</f>
        <v/>
      </c>
      <c r="F154" s="30">
        <f>--ISNUMBER(IFERROR(SEARCH(Quote!$G$1,E154,1),""))</f>
        <v>0</v>
      </c>
      <c r="G154" s="30" t="str">
        <f>IF(F154=1,COUNTIF($F$1:F154,1),"")</f>
        <v/>
      </c>
      <c r="H154" s="30" t="str">
        <f>IFERROR(INDEX($E$1:$E$15,MATCH(ROWS($G$1:G154),$G$1:$G$15,0)),"")</f>
        <v/>
      </c>
      <c r="I154" s="5" t="s">
        <v>172</v>
      </c>
      <c r="J154" s="30">
        <f>--ISNUMBER(IFERROR(SEARCH(Quote!$G$1,I154,1),""))</f>
        <v>1</v>
      </c>
      <c r="K154" s="30">
        <f>IF(J154=1,COUNTIF($J$1:J154,1),"")</f>
        <v>154</v>
      </c>
      <c r="L154" s="30" t="str">
        <f>IFERROR(INDEX($I$1:$I$500,MATCH(ROWS($K$1:K154),$K$1:$K$500,0)),"")</f>
        <v>Trade Tech Inc</v>
      </c>
    </row>
    <row r="155" spans="2:12" x14ac:dyDescent="0.25">
      <c r="B155" s="30">
        <f>--ISNUMBER(IFERROR(SEARCH(Quote!$G$1,A155,1),""))</f>
        <v>0</v>
      </c>
      <c r="C155" s="30" t="str">
        <f>IF(B155=1,COUNTIF($B$1:B155,1),"")</f>
        <v/>
      </c>
      <c r="D155" s="30" t="str">
        <f>IFERROR(INDEX($A$1:$A$10,MATCH(ROWS($C$1:C155),$C$1:$C$10,0)),"")</f>
        <v/>
      </c>
      <c r="F155" s="30">
        <f>--ISNUMBER(IFERROR(SEARCH(Quote!$G$1,E155,1),""))</f>
        <v>0</v>
      </c>
      <c r="G155" s="30" t="str">
        <f>IF(F155=1,COUNTIF($F$1:F155,1),"")</f>
        <v/>
      </c>
      <c r="H155" s="30" t="str">
        <f>IFERROR(INDEX($E$1:$E$15,MATCH(ROWS($G$1:G155),$G$1:$G$15,0)),"")</f>
        <v/>
      </c>
      <c r="I155" s="5" t="s">
        <v>173</v>
      </c>
      <c r="J155" s="30">
        <f>--ISNUMBER(IFERROR(SEARCH(Quote!$G$1,I155,1),""))</f>
        <v>1</v>
      </c>
      <c r="K155" s="30">
        <f>IF(J155=1,COUNTIF($J$1:J155,1),"")</f>
        <v>155</v>
      </c>
      <c r="L155" s="30" t="str">
        <f>IFERROR(INDEX($I$1:$I$500,MATCH(ROWS($K$1:K155),$K$1:$K$500,0)),"")</f>
        <v>Travers Tool Co. Inc.</v>
      </c>
    </row>
    <row r="156" spans="2:12" x14ac:dyDescent="0.25">
      <c r="B156" s="30">
        <f>--ISNUMBER(IFERROR(SEARCH(Quote!$G$1,A156,1),""))</f>
        <v>0</v>
      </c>
      <c r="C156" s="30" t="str">
        <f>IF(B156=1,COUNTIF($B$1:B156,1),"")</f>
        <v/>
      </c>
      <c r="D156" s="30" t="str">
        <f>IFERROR(INDEX($A$1:$A$10,MATCH(ROWS($C$1:C156),$C$1:$C$10,0)),"")</f>
        <v/>
      </c>
      <c r="F156" s="30">
        <f>--ISNUMBER(IFERROR(SEARCH(Quote!$G$1,E156,1),""))</f>
        <v>0</v>
      </c>
      <c r="G156" s="30" t="str">
        <f>IF(F156=1,COUNTIF($F$1:F156,1),"")</f>
        <v/>
      </c>
      <c r="H156" s="30" t="str">
        <f>IFERROR(INDEX($E$1:$E$15,MATCH(ROWS($G$1:G156),$G$1:$G$15,0)),"")</f>
        <v/>
      </c>
      <c r="I156" s="5" t="s">
        <v>174</v>
      </c>
      <c r="J156" s="30">
        <f>--ISNUMBER(IFERROR(SEARCH(Quote!$G$1,I156,1),""))</f>
        <v>1</v>
      </c>
      <c r="K156" s="30">
        <f>IF(J156=1,COUNTIF($J$1:J156,1),"")</f>
        <v>156</v>
      </c>
      <c r="L156" s="30" t="str">
        <f>IFERROR(INDEX($I$1:$I$500,MATCH(ROWS($K$1:K156),$K$1:$K$500,0)),"")</f>
        <v>Trimay</v>
      </c>
    </row>
    <row r="157" spans="2:12" x14ac:dyDescent="0.25">
      <c r="B157" s="30">
        <f>--ISNUMBER(IFERROR(SEARCH(Quote!$G$1,A157,1),""))</f>
        <v>0</v>
      </c>
      <c r="C157" s="30" t="str">
        <f>IF(B157=1,COUNTIF($B$1:B157,1),"")</f>
        <v/>
      </c>
      <c r="D157" s="30" t="str">
        <f>IFERROR(INDEX($A$1:$A$10,MATCH(ROWS($C$1:C157),$C$1:$C$10,0)),"")</f>
        <v/>
      </c>
      <c r="F157" s="30">
        <f>--ISNUMBER(IFERROR(SEARCH(Quote!$G$1,E157,1),""))</f>
        <v>0</v>
      </c>
      <c r="G157" s="30" t="str">
        <f>IF(F157=1,COUNTIF($F$1:F157,1),"")</f>
        <v/>
      </c>
      <c r="H157" s="30" t="str">
        <f>IFERROR(INDEX($E$1:$E$15,MATCH(ROWS($G$1:G157),$G$1:$G$15,0)),"")</f>
        <v/>
      </c>
      <c r="I157" s="5" t="s">
        <v>175</v>
      </c>
      <c r="J157" s="30">
        <f>--ISNUMBER(IFERROR(SEARCH(Quote!$G$1,I157,1),""))</f>
        <v>1</v>
      </c>
      <c r="K157" s="30">
        <f>IF(J157=1,COUNTIF($J$1:J157,1),"")</f>
        <v>157</v>
      </c>
      <c r="L157" s="30" t="str">
        <f>IFERROR(INDEX($I$1:$I$500,MATCH(ROWS($K$1:K157),$K$1:$K$500,0)),"")</f>
        <v>TS&amp;M Supply</v>
      </c>
    </row>
    <row r="158" spans="2:12" x14ac:dyDescent="0.25">
      <c r="B158" s="30">
        <f>--ISNUMBER(IFERROR(SEARCH(Quote!$G$1,A158,1),""))</f>
        <v>0</v>
      </c>
      <c r="C158" s="30" t="str">
        <f>IF(B158=1,COUNTIF($B$1:B158,1),"")</f>
        <v/>
      </c>
      <c r="D158" s="30" t="str">
        <f>IFERROR(INDEX($A$1:$A$10,MATCH(ROWS($C$1:C158),$C$1:$C$10,0)),"")</f>
        <v/>
      </c>
      <c r="F158" s="30">
        <f>--ISNUMBER(IFERROR(SEARCH(Quote!$G$1,E158,1),""))</f>
        <v>0</v>
      </c>
      <c r="G158" s="30" t="str">
        <f>IF(F158=1,COUNTIF($F$1:F158,1),"")</f>
        <v/>
      </c>
      <c r="H158" s="30" t="str">
        <f>IFERROR(INDEX($E$1:$E$15,MATCH(ROWS($G$1:G158),$G$1:$G$15,0)),"")</f>
        <v/>
      </c>
      <c r="I158" s="5" t="s">
        <v>196</v>
      </c>
      <c r="J158" s="30">
        <f>--ISNUMBER(IFERROR(SEARCH(Quote!$G$1,I158,1),""))</f>
        <v>1</v>
      </c>
      <c r="K158" s="30">
        <f>IF(J158=1,COUNTIF($J$1:J158,1),"")</f>
        <v>158</v>
      </c>
      <c r="L158" s="30" t="str">
        <f>IFERROR(INDEX($I$1:$I$500,MATCH(ROWS($K$1:K158),$K$1:$K$500,0)),"")</f>
        <v>Unisource</v>
      </c>
    </row>
    <row r="159" spans="2:12" x14ac:dyDescent="0.25">
      <c r="B159" s="30">
        <f>--ISNUMBER(IFERROR(SEARCH(Quote!$G$1,A159,1),""))</f>
        <v>0</v>
      </c>
      <c r="C159" s="30" t="str">
        <f>IF(B159=1,COUNTIF($B$1:B159,1),"")</f>
        <v/>
      </c>
      <c r="D159" s="30" t="str">
        <f>IFERROR(INDEX($A$1:$A$10,MATCH(ROWS($C$1:C159),$C$1:$C$10,0)),"")</f>
        <v/>
      </c>
      <c r="F159" s="30">
        <f>--ISNUMBER(IFERROR(SEARCH(Quote!$G$1,E159,1),""))</f>
        <v>0</v>
      </c>
      <c r="G159" s="30" t="str">
        <f>IF(F159=1,COUNTIF($F$1:F159,1),"")</f>
        <v/>
      </c>
      <c r="H159" s="30" t="str">
        <f>IFERROR(INDEX($E$1:$E$15,MATCH(ROWS($G$1:G159),$G$1:$G$15,0)),"")</f>
        <v/>
      </c>
      <c r="I159" s="5" t="s">
        <v>176</v>
      </c>
      <c r="J159" s="30">
        <f>--ISNUMBER(IFERROR(SEARCH(Quote!$G$1,I159,1),""))</f>
        <v>1</v>
      </c>
      <c r="K159" s="30">
        <f>IF(J159=1,COUNTIF($J$1:J159,1),"")</f>
        <v>159</v>
      </c>
      <c r="L159" s="30" t="str">
        <f>IFERROR(INDEX($I$1:$I$500,MATCH(ROWS($K$1:K159),$K$1:$K$500,0)),"")</f>
        <v>Varsteel</v>
      </c>
    </row>
    <row r="160" spans="2:12" x14ac:dyDescent="0.25">
      <c r="B160" s="30">
        <f>--ISNUMBER(IFERROR(SEARCH(Quote!$G$1,A160,1),""))</f>
        <v>0</v>
      </c>
      <c r="C160" s="30" t="str">
        <f>IF(B160=1,COUNTIF($B$1:B160,1),"")</f>
        <v/>
      </c>
      <c r="D160" s="30" t="str">
        <f>IFERROR(INDEX($A$1:$A$10,MATCH(ROWS($C$1:C160),$C$1:$C$10,0)),"")</f>
        <v/>
      </c>
      <c r="F160" s="30">
        <f>--ISNUMBER(IFERROR(SEARCH(Quote!$G$1,E160,1),""))</f>
        <v>0</v>
      </c>
      <c r="G160" s="30" t="str">
        <f>IF(F160=1,COUNTIF($F$1:F160,1),"")</f>
        <v/>
      </c>
      <c r="H160" s="30" t="str">
        <f>IFERROR(INDEX($E$1:$E$15,MATCH(ROWS($G$1:G160),$G$1:$G$15,0)),"")</f>
        <v/>
      </c>
      <c r="I160" s="5" t="s">
        <v>177</v>
      </c>
      <c r="J160" s="30">
        <f>--ISNUMBER(IFERROR(SEARCH(Quote!$G$1,I160,1),""))</f>
        <v>1</v>
      </c>
      <c r="K160" s="30">
        <f>IF(J160=1,COUNTIF($J$1:J160,1),"")</f>
        <v>160</v>
      </c>
      <c r="L160" s="30" t="str">
        <f>IFERROR(INDEX($I$1:$I$500,MATCH(ROWS($K$1:K160),$K$1:$K$500,0)),"")</f>
        <v>Wainbee</v>
      </c>
    </row>
    <row r="161" spans="2:12" x14ac:dyDescent="0.25">
      <c r="B161" s="30">
        <f>--ISNUMBER(IFERROR(SEARCH(Quote!$G$1,A161,1),""))</f>
        <v>0</v>
      </c>
      <c r="C161" s="30" t="str">
        <f>IF(B161=1,COUNTIF($B$1:B161,1),"")</f>
        <v/>
      </c>
      <c r="D161" s="30" t="str">
        <f>IFERROR(INDEX($A$1:$A$10,MATCH(ROWS($C$1:C161),$C$1:$C$10,0)),"")</f>
        <v/>
      </c>
      <c r="F161" s="30">
        <f>--ISNUMBER(IFERROR(SEARCH(Quote!$G$1,E161,1),""))</f>
        <v>0</v>
      </c>
      <c r="G161" s="30" t="str">
        <f>IF(F161=1,COUNTIF($F$1:F161,1),"")</f>
        <v/>
      </c>
      <c r="H161" s="30" t="str">
        <f>IFERROR(INDEX($E$1:$E$15,MATCH(ROWS($G$1:G161),$G$1:$G$15,0)),"")</f>
        <v/>
      </c>
      <c r="I161" s="5" t="s">
        <v>178</v>
      </c>
      <c r="J161" s="30">
        <f>--ISNUMBER(IFERROR(SEARCH(Quote!$G$1,I161,1),""))</f>
        <v>1</v>
      </c>
      <c r="K161" s="30">
        <f>IF(J161=1,COUNTIF($J$1:J161,1),"")</f>
        <v>161</v>
      </c>
      <c r="L161" s="30" t="str">
        <f>IFERROR(INDEX($I$1:$I$500,MATCH(ROWS($K$1:K161),$K$1:$K$500,0)),"")</f>
        <v>Wajax</v>
      </c>
    </row>
    <row r="162" spans="2:12" x14ac:dyDescent="0.25">
      <c r="B162" s="30">
        <f>--ISNUMBER(IFERROR(SEARCH(Quote!$G$1,A162,1),""))</f>
        <v>0</v>
      </c>
      <c r="C162" s="30" t="str">
        <f>IF(B162=1,COUNTIF($B$1:B162,1),"")</f>
        <v/>
      </c>
      <c r="D162" s="30" t="str">
        <f>IFERROR(INDEX($A$1:$A$10,MATCH(ROWS($C$1:C162),$C$1:$C$10,0)),"")</f>
        <v/>
      </c>
      <c r="F162" s="30">
        <f>--ISNUMBER(IFERROR(SEARCH(Quote!$G$1,E162,1),""))</f>
        <v>0</v>
      </c>
      <c r="G162" s="30" t="str">
        <f>IF(F162=1,COUNTIF($F$1:F162,1),"")</f>
        <v/>
      </c>
      <c r="H162" s="30" t="str">
        <f>IFERROR(INDEX($E$1:$E$15,MATCH(ROWS($G$1:G162),$G$1:$G$15,0)),"")</f>
        <v/>
      </c>
      <c r="I162" s="5" t="s">
        <v>179</v>
      </c>
      <c r="J162" s="30">
        <f>--ISNUMBER(IFERROR(SEARCH(Quote!$G$1,I162,1),""))</f>
        <v>1</v>
      </c>
      <c r="K162" s="30">
        <f>IF(J162=1,COUNTIF($J$1:J162,1),"")</f>
        <v>162</v>
      </c>
      <c r="L162" s="30" t="str">
        <f>IFERROR(INDEX($I$1:$I$500,MATCH(ROWS($K$1:K162),$K$1:$K$500,0)),"")</f>
        <v>Walker's Auto &amp; Body Supplies</v>
      </c>
    </row>
    <row r="163" spans="2:12" x14ac:dyDescent="0.25">
      <c r="B163" s="30">
        <f>--ISNUMBER(IFERROR(SEARCH(Quote!$G$1,A163,1),""))</f>
        <v>0</v>
      </c>
      <c r="C163" s="30" t="str">
        <f>IF(B163=1,COUNTIF($B$1:B163,1),"")</f>
        <v/>
      </c>
      <c r="D163" s="30" t="str">
        <f>IFERROR(INDEX($A$1:$A$10,MATCH(ROWS($C$1:C163),$C$1:$C$10,0)),"")</f>
        <v/>
      </c>
      <c r="F163" s="30">
        <f>--ISNUMBER(IFERROR(SEARCH(Quote!$G$1,E163,1),""))</f>
        <v>0</v>
      </c>
      <c r="G163" s="30" t="str">
        <f>IF(F163=1,COUNTIF($F$1:F163,1),"")</f>
        <v/>
      </c>
      <c r="H163" s="30" t="str">
        <f>IFERROR(INDEX($E$1:$E$15,MATCH(ROWS($G$1:G163),$G$1:$G$15,0)),"")</f>
        <v/>
      </c>
      <c r="I163" s="5" t="s">
        <v>180</v>
      </c>
      <c r="J163" s="30">
        <f>--ISNUMBER(IFERROR(SEARCH(Quote!$G$1,I163,1),""))</f>
        <v>1</v>
      </c>
      <c r="K163" s="30">
        <f>IF(J163=1,COUNTIF($J$1:J163,1),"")</f>
        <v>163</v>
      </c>
      <c r="L163" s="30" t="str">
        <f>IFERROR(INDEX($I$1:$I$500,MATCH(ROWS($K$1:K163),$K$1:$K$500,0)),"")</f>
        <v>Wallace Construction</v>
      </c>
    </row>
    <row r="164" spans="2:12" x14ac:dyDescent="0.25">
      <c r="B164" s="30">
        <f>--ISNUMBER(IFERROR(SEARCH(Quote!$G$1,A164,1),""))</f>
        <v>0</v>
      </c>
      <c r="C164" s="30" t="str">
        <f>IF(B164=1,COUNTIF($B$1:B164,1),"")</f>
        <v/>
      </c>
      <c r="D164" s="30" t="str">
        <f>IFERROR(INDEX($A$1:$A$10,MATCH(ROWS($C$1:C164),$C$1:$C$10,0)),"")</f>
        <v/>
      </c>
      <c r="F164" s="30">
        <f>--ISNUMBER(IFERROR(SEARCH(Quote!$G$1,E164,1),""))</f>
        <v>0</v>
      </c>
      <c r="G164" s="30" t="str">
        <f>IF(F164=1,COUNTIF($F$1:F164,1),"")</f>
        <v/>
      </c>
      <c r="H164" s="30" t="str">
        <f>IFERROR(INDEX($E$1:$E$15,MATCH(ROWS($G$1:G164),$G$1:$G$15,0)),"")</f>
        <v/>
      </c>
      <c r="I164" s="5" t="s">
        <v>181</v>
      </c>
      <c r="J164" s="30">
        <f>--ISNUMBER(IFERROR(SEARCH(Quote!$G$1,I164,1),""))</f>
        <v>1</v>
      </c>
      <c r="K164" s="30">
        <f>IF(J164=1,COUNTIF($J$1:J164,1),"")</f>
        <v>164</v>
      </c>
      <c r="L164" s="30" t="str">
        <f>IFERROR(INDEX($I$1:$I$500,MATCH(ROWS($K$1:K164),$K$1:$K$500,0)),"")</f>
        <v>WD Plastics</v>
      </c>
    </row>
    <row r="165" spans="2:12" x14ac:dyDescent="0.25">
      <c r="B165" s="30">
        <f>--ISNUMBER(IFERROR(SEARCH(Quote!$G$1,A165,1),""))</f>
        <v>0</v>
      </c>
      <c r="C165" s="30" t="str">
        <f>IF(B165=1,COUNTIF($B$1:B165,1),"")</f>
        <v/>
      </c>
      <c r="D165" s="30" t="str">
        <f>IFERROR(INDEX($A$1:$A$10,MATCH(ROWS($C$1:C165),$C$1:$C$10,0)),"")</f>
        <v/>
      </c>
      <c r="F165" s="30">
        <f>--ISNUMBER(IFERROR(SEARCH(Quote!$G$1,E165,1),""))</f>
        <v>0</v>
      </c>
      <c r="G165" s="30" t="str">
        <f>IF(F165=1,COUNTIF($F$1:F165,1),"")</f>
        <v/>
      </c>
      <c r="H165" s="30" t="str">
        <f>IFERROR(INDEX($E$1:$E$15,MATCH(ROWS($G$1:G165),$G$1:$G$15,0)),"")</f>
        <v/>
      </c>
      <c r="I165" s="5" t="s">
        <v>182</v>
      </c>
      <c r="J165" s="30">
        <f>--ISNUMBER(IFERROR(SEARCH(Quote!$G$1,I165,1),""))</f>
        <v>1</v>
      </c>
      <c r="K165" s="30">
        <f>IF(J165=1,COUNTIF($J$1:J165,1),"")</f>
        <v>165</v>
      </c>
      <c r="L165" s="30" t="str">
        <f>IFERROR(INDEX($I$1:$I$500,MATCH(ROWS($K$1:K165),$K$1:$K$500,0)),"")</f>
        <v>Wesco</v>
      </c>
    </row>
    <row r="166" spans="2:12" x14ac:dyDescent="0.25">
      <c r="B166" s="30">
        <f>--ISNUMBER(IFERROR(SEARCH(Quote!$G$1,A166,1),""))</f>
        <v>0</v>
      </c>
      <c r="C166" s="30" t="str">
        <f>IF(B166=1,COUNTIF($B$1:B166,1),"")</f>
        <v/>
      </c>
      <c r="D166" s="30" t="str">
        <f>IFERROR(INDEX($A$1:$A$10,MATCH(ROWS($C$1:C166),$C$1:$C$10,0)),"")</f>
        <v/>
      </c>
      <c r="F166" s="30">
        <f>--ISNUMBER(IFERROR(SEARCH(Quote!$G$1,E166,1),""))</f>
        <v>0</v>
      </c>
      <c r="G166" s="30" t="str">
        <f>IF(F166=1,COUNTIF($F$1:F166,1),"")</f>
        <v/>
      </c>
      <c r="H166" s="30" t="str">
        <f>IFERROR(INDEX($E$1:$E$15,MATCH(ROWS($G$1:G166),$G$1:$G$15,0)),"")</f>
        <v/>
      </c>
      <c r="I166" s="5" t="s">
        <v>183</v>
      </c>
      <c r="J166" s="30">
        <f>--ISNUMBER(IFERROR(SEARCH(Quote!$G$1,I166,1),""))</f>
        <v>1</v>
      </c>
      <c r="K166" s="30">
        <f>IF(J166=1,COUNTIF($J$1:J166,1),"")</f>
        <v>166</v>
      </c>
      <c r="L166" s="30" t="str">
        <f>IFERROR(INDEX($I$1:$I$500,MATCH(ROWS($K$1:K166),$K$1:$K$500,0)),"")</f>
        <v>Western Spring &amp; Wire</v>
      </c>
    </row>
    <row r="167" spans="2:12" x14ac:dyDescent="0.25">
      <c r="B167" s="30">
        <f>--ISNUMBER(IFERROR(SEARCH(Quote!$G$1,A167,1),""))</f>
        <v>0</v>
      </c>
      <c r="C167" s="30" t="str">
        <f>IF(B167=1,COUNTIF($B$1:B167,1),"")</f>
        <v/>
      </c>
      <c r="D167" s="30" t="str">
        <f>IFERROR(INDEX($A$1:$A$10,MATCH(ROWS($C$1:C167),$C$1:$C$10,0)),"")</f>
        <v/>
      </c>
      <c r="F167" s="30">
        <f>--ISNUMBER(IFERROR(SEARCH(Quote!$G$1,E167,1),""))</f>
        <v>0</v>
      </c>
      <c r="G167" s="30" t="str">
        <f>IF(F167=1,COUNTIF($F$1:F167,1),"")</f>
        <v/>
      </c>
      <c r="H167" s="30" t="str">
        <f>IFERROR(INDEX($E$1:$E$15,MATCH(ROWS($G$1:G167),$G$1:$G$15,0)),"")</f>
        <v/>
      </c>
      <c r="I167" s="5" t="s">
        <v>210</v>
      </c>
      <c r="J167" s="30">
        <f>--ISNUMBER(IFERROR(SEARCH(Quote!$G$1,I167,1),""))</f>
        <v>1</v>
      </c>
      <c r="K167" s="30">
        <f>IF(J167=1,COUNTIF($J$1:J167,1),"")</f>
        <v>167</v>
      </c>
      <c r="L167" s="30" t="str">
        <f>IFERROR(INDEX($I$1:$I$500,MATCH(ROWS($K$1:K167),$K$1:$K$500,0)),"")</f>
        <v>Westlund</v>
      </c>
    </row>
    <row r="168" spans="2:12" x14ac:dyDescent="0.25">
      <c r="B168" s="30">
        <f>--ISNUMBER(IFERROR(SEARCH(Quote!$G$1,A168,1),""))</f>
        <v>0</v>
      </c>
      <c r="C168" s="30" t="str">
        <f>IF(B168=1,COUNTIF($B$1:B168,1),"")</f>
        <v/>
      </c>
      <c r="D168" s="30" t="str">
        <f>IFERROR(INDEX($A$1:$A$10,MATCH(ROWS($C$1:C168),$C$1:$C$10,0)),"")</f>
        <v/>
      </c>
      <c r="F168" s="30">
        <f>--ISNUMBER(IFERROR(SEARCH(Quote!$G$1,E168,1),""))</f>
        <v>0</v>
      </c>
      <c r="G168" s="30" t="str">
        <f>IF(F168=1,COUNTIF($F$1:F168,1),"")</f>
        <v/>
      </c>
      <c r="H168" s="30" t="str">
        <f>IFERROR(INDEX($E$1:$E$15,MATCH(ROWS($G$1:G168),$G$1:$G$15,0)),"")</f>
        <v/>
      </c>
      <c r="I168" s="5" t="s">
        <v>184</v>
      </c>
      <c r="J168" s="30">
        <f>--ISNUMBER(IFERROR(SEARCH(Quote!$G$1,I168,1),""))</f>
        <v>1</v>
      </c>
      <c r="K168" s="30">
        <f>IF(J168=1,COUNTIF($J$1:J168,1),"")</f>
        <v>168</v>
      </c>
      <c r="L168" s="30" t="str">
        <f>IFERROR(INDEX($I$1:$I$500,MATCH(ROWS($K$1:K168),$K$1:$K$500,0)),"")</f>
        <v>Westrans (Springs)</v>
      </c>
    </row>
    <row r="169" spans="2:12" x14ac:dyDescent="0.25">
      <c r="B169" s="30">
        <f>--ISNUMBER(IFERROR(SEARCH(Quote!$G$1,A169,1),""))</f>
        <v>0</v>
      </c>
      <c r="C169" s="30" t="str">
        <f>IF(B169=1,COUNTIF($B$1:B169,1),"")</f>
        <v/>
      </c>
      <c r="D169" s="30" t="str">
        <f>IFERROR(INDEX($A$1:$A$10,MATCH(ROWS($C$1:C169),$C$1:$C$10,0)),"")</f>
        <v/>
      </c>
      <c r="F169" s="30">
        <f>--ISNUMBER(IFERROR(SEARCH(Quote!$G$1,E169,1),""))</f>
        <v>0</v>
      </c>
      <c r="G169" s="30" t="str">
        <f>IF(F169=1,COUNTIF($F$1:F169,1),"")</f>
        <v/>
      </c>
      <c r="H169" s="30" t="str">
        <f>IFERROR(INDEX($E$1:$E$15,MATCH(ROWS($G$1:G169),$G$1:$G$15,0)),"")</f>
        <v/>
      </c>
      <c r="I169" s="5" t="s">
        <v>185</v>
      </c>
      <c r="J169" s="30">
        <f>--ISNUMBER(IFERROR(SEARCH(Quote!$G$1,I169,1),""))</f>
        <v>1</v>
      </c>
      <c r="K169" s="30">
        <f>IF(J169=1,COUNTIF($J$1:J169,1),"")</f>
        <v>169</v>
      </c>
      <c r="L169" s="30" t="str">
        <f>IFERROR(INDEX($I$1:$I$500,MATCH(ROWS($K$1:K169),$K$1:$K$500,0)),"")</f>
        <v>Wide Flange Beam</v>
      </c>
    </row>
    <row r="170" spans="2:12" x14ac:dyDescent="0.25">
      <c r="B170" s="30">
        <f>--ISNUMBER(IFERROR(SEARCH(Quote!$G$1,A170,1),""))</f>
        <v>0</v>
      </c>
      <c r="C170" s="30" t="str">
        <f>IF(B170=1,COUNTIF($B$1:B170,1),"")</f>
        <v/>
      </c>
      <c r="D170" s="30" t="str">
        <f>IFERROR(INDEX($A$1:$A$10,MATCH(ROWS($C$1:C170),$C$1:$C$10,0)),"")</f>
        <v/>
      </c>
      <c r="F170" s="30">
        <f>--ISNUMBER(IFERROR(SEARCH(Quote!$G$1,E170,1),""))</f>
        <v>0</v>
      </c>
      <c r="G170" s="30" t="str">
        <f>IF(F170=1,COUNTIF($F$1:F170,1),"")</f>
        <v/>
      </c>
      <c r="H170" s="30" t="str">
        <f>IFERROR(INDEX($E$1:$E$15,MATCH(ROWS($G$1:G170),$G$1:$G$15,0)),"")</f>
        <v/>
      </c>
      <c r="I170" s="5" t="s">
        <v>186</v>
      </c>
      <c r="J170" s="30">
        <f>--ISNUMBER(IFERROR(SEARCH(Quote!$G$1,I170,1),""))</f>
        <v>1</v>
      </c>
      <c r="K170" s="30">
        <f>IF(J170=1,COUNTIF($J$1:J170,1),"")</f>
        <v>170</v>
      </c>
      <c r="L170" s="30" t="str">
        <f>IFERROR(INDEX($I$1:$I$500,MATCH(ROWS($K$1:K170),$K$1:$K$500,0)),"")</f>
        <v>Wilkinson Steel</v>
      </c>
    </row>
    <row r="171" spans="2:12" x14ac:dyDescent="0.25">
      <c r="B171" s="30">
        <f>--ISNUMBER(IFERROR(SEARCH(Quote!$G$1,A171,1),""))</f>
        <v>0</v>
      </c>
      <c r="C171" s="30" t="str">
        <f>IF(B171=1,COUNTIF($B$1:B171,1),"")</f>
        <v/>
      </c>
      <c r="D171" s="30" t="str">
        <f>IFERROR(INDEX($A$1:$A$10,MATCH(ROWS($C$1:C171),$C$1:$C$10,0)),"")</f>
        <v/>
      </c>
      <c r="F171" s="30">
        <f>--ISNUMBER(IFERROR(SEARCH(Quote!$G$1,E171,1),""))</f>
        <v>0</v>
      </c>
      <c r="G171" s="30" t="str">
        <f>IF(F171=1,COUNTIF($F$1:F171,1),"")</f>
        <v/>
      </c>
      <c r="H171" s="30" t="str">
        <f>IFERROR(INDEX($E$1:$E$15,MATCH(ROWS($G$1:G171),$G$1:$G$15,0)),"")</f>
        <v/>
      </c>
      <c r="I171" s="5" t="s">
        <v>187</v>
      </c>
      <c r="J171" s="30">
        <f>--ISNUMBER(IFERROR(SEARCH(Quote!$G$1,I171,1),""))</f>
        <v>1</v>
      </c>
      <c r="K171" s="30">
        <f>IF(J171=1,COUNTIF($J$1:J171,1),"")</f>
        <v>171</v>
      </c>
      <c r="L171" s="30" t="str">
        <f>IFERROR(INDEX($I$1:$I$500,MATCH(ROWS($K$1:K171),$K$1:$K$500,0)),"")</f>
        <v>Windsor Plywood</v>
      </c>
    </row>
    <row r="172" spans="2:12" x14ac:dyDescent="0.25">
      <c r="B172" s="30">
        <f>--ISNUMBER(IFERROR(SEARCH(Quote!$G$1,A172,1),""))</f>
        <v>0</v>
      </c>
      <c r="C172" s="30" t="str">
        <f>IF(B172=1,COUNTIF($B$1:B172,1),"")</f>
        <v/>
      </c>
      <c r="D172" s="30" t="str">
        <f>IFERROR(INDEX($A$1:$A$10,MATCH(ROWS($C$1:C172),$C$1:$C$10,0)),"")</f>
        <v/>
      </c>
      <c r="F172" s="30">
        <f>--ISNUMBER(IFERROR(SEARCH(Quote!$G$1,E172,1),""))</f>
        <v>0</v>
      </c>
      <c r="G172" s="30" t="str">
        <f>IF(F172=1,COUNTIF($F$1:F172,1),"")</f>
        <v/>
      </c>
      <c r="H172" s="30" t="str">
        <f>IFERROR(INDEX($E$1:$E$15,MATCH(ROWS($G$1:G172),$G$1:$G$15,0)),"")</f>
        <v/>
      </c>
      <c r="J172" s="30">
        <f>--ISNUMBER(IFERROR(SEARCH(Quote!$G$1,I172,1),""))</f>
        <v>0</v>
      </c>
      <c r="K172" s="30" t="str">
        <f>IF(J172=1,COUNTIF($J$1:J172,1),"")</f>
        <v/>
      </c>
      <c r="L172" s="30" t="str">
        <f>IFERROR(INDEX($I$1:$I$500,MATCH(ROWS($K$1:K172),$K$1:$K$500,0)),"")</f>
        <v/>
      </c>
    </row>
    <row r="173" spans="2:12" x14ac:dyDescent="0.25">
      <c r="B173" s="30">
        <f>--ISNUMBER(IFERROR(SEARCH(Quote!$G$1,A173,1),""))</f>
        <v>0</v>
      </c>
      <c r="C173" s="30" t="str">
        <f>IF(B173=1,COUNTIF($B$1:B173,1),"")</f>
        <v/>
      </c>
      <c r="D173" s="30" t="str">
        <f>IFERROR(INDEX($A$1:$A$10,MATCH(ROWS($C$1:C173),$C$1:$C$10,0)),"")</f>
        <v/>
      </c>
      <c r="F173" s="30">
        <f>--ISNUMBER(IFERROR(SEARCH(Quote!$G$1,E173,1),""))</f>
        <v>0</v>
      </c>
      <c r="G173" s="30" t="str">
        <f>IF(F173=1,COUNTIF($F$1:F173,1),"")</f>
        <v/>
      </c>
      <c r="H173" s="30" t="str">
        <f>IFERROR(INDEX($E$1:$E$15,MATCH(ROWS($G$1:G173),$G$1:$G$15,0)),"")</f>
        <v/>
      </c>
      <c r="J173" s="30">
        <f>--ISNUMBER(IFERROR(SEARCH(Quote!$G$1,I173,1),""))</f>
        <v>0</v>
      </c>
      <c r="K173" s="30" t="str">
        <f>IF(J173=1,COUNTIF($J$1:J173,1),"")</f>
        <v/>
      </c>
      <c r="L173" s="30" t="str">
        <f>IFERROR(INDEX($I$1:$I$500,MATCH(ROWS($K$1:K173),$K$1:$K$500,0)),"")</f>
        <v/>
      </c>
    </row>
    <row r="174" spans="2:12" x14ac:dyDescent="0.25">
      <c r="B174" s="30">
        <f>--ISNUMBER(IFERROR(SEARCH(Quote!$G$1,A174,1),""))</f>
        <v>0</v>
      </c>
      <c r="C174" s="30" t="str">
        <f>IF(B174=1,COUNTIF($B$1:B174,1),"")</f>
        <v/>
      </c>
      <c r="D174" s="30" t="str">
        <f>IFERROR(INDEX($A$1:$A$10,MATCH(ROWS($C$1:C174),$C$1:$C$10,0)),"")</f>
        <v/>
      </c>
      <c r="F174" s="30">
        <f>--ISNUMBER(IFERROR(SEARCH(Quote!$G$1,E174,1),""))</f>
        <v>0</v>
      </c>
      <c r="G174" s="30" t="str">
        <f>IF(F174=1,COUNTIF($F$1:F174,1),"")</f>
        <v/>
      </c>
      <c r="H174" s="30" t="str">
        <f>IFERROR(INDEX($E$1:$E$15,MATCH(ROWS($G$1:G174),$G$1:$G$15,0)),"")</f>
        <v/>
      </c>
      <c r="J174" s="30">
        <f>--ISNUMBER(IFERROR(SEARCH(Quote!$G$1,I174,1),""))</f>
        <v>0</v>
      </c>
      <c r="K174" s="30" t="str">
        <f>IF(J174=1,COUNTIF($J$1:J174,1),"")</f>
        <v/>
      </c>
      <c r="L174" s="30" t="str">
        <f>IFERROR(INDEX($I$1:$I$500,MATCH(ROWS($K$1:K174),$K$1:$K$500,0)),"")</f>
        <v/>
      </c>
    </row>
    <row r="175" spans="2:12" x14ac:dyDescent="0.25">
      <c r="B175" s="30">
        <f>--ISNUMBER(IFERROR(SEARCH(Quote!$G$1,A175,1),""))</f>
        <v>0</v>
      </c>
      <c r="C175" s="30" t="str">
        <f>IF(B175=1,COUNTIF($B$1:B175,1),"")</f>
        <v/>
      </c>
      <c r="D175" s="30" t="str">
        <f>IFERROR(INDEX($A$1:$A$10,MATCH(ROWS($C$1:C175),$C$1:$C$10,0)),"")</f>
        <v/>
      </c>
      <c r="F175" s="30">
        <f>--ISNUMBER(IFERROR(SEARCH(Quote!$G$1,E175,1),""))</f>
        <v>0</v>
      </c>
      <c r="G175" s="30" t="str">
        <f>IF(F175=1,COUNTIF($F$1:F175,1),"")</f>
        <v/>
      </c>
      <c r="H175" s="30" t="str">
        <f>IFERROR(INDEX($E$1:$E$15,MATCH(ROWS($G$1:G175),$G$1:$G$15,0)),"")</f>
        <v/>
      </c>
      <c r="J175" s="30">
        <f>--ISNUMBER(IFERROR(SEARCH(Quote!$G$1,I175,1),""))</f>
        <v>0</v>
      </c>
      <c r="K175" s="30" t="str">
        <f>IF(J175=1,COUNTIF($J$1:J175,1),"")</f>
        <v/>
      </c>
      <c r="L175" s="30" t="str">
        <f>IFERROR(INDEX($I$1:$I$500,MATCH(ROWS($K$1:K175),$K$1:$K$500,0)),"")</f>
        <v/>
      </c>
    </row>
    <row r="176" spans="2:12" x14ac:dyDescent="0.25">
      <c r="B176" s="30">
        <f>--ISNUMBER(IFERROR(SEARCH(Quote!$G$1,A176,1),""))</f>
        <v>0</v>
      </c>
      <c r="C176" s="30" t="str">
        <f>IF(B176=1,COUNTIF($B$1:B176,1),"")</f>
        <v/>
      </c>
      <c r="D176" s="30" t="str">
        <f>IFERROR(INDEX($A$1:$A$10,MATCH(ROWS($C$1:C176),$C$1:$C$10,0)),"")</f>
        <v/>
      </c>
      <c r="F176" s="30">
        <f>--ISNUMBER(IFERROR(SEARCH(Quote!$G$1,E176,1),""))</f>
        <v>0</v>
      </c>
      <c r="G176" s="30" t="str">
        <f>IF(F176=1,COUNTIF($F$1:F176,1),"")</f>
        <v/>
      </c>
      <c r="H176" s="30" t="str">
        <f>IFERROR(INDEX($E$1:$E$15,MATCH(ROWS($G$1:G176),$G$1:$G$15,0)),"")</f>
        <v/>
      </c>
      <c r="J176" s="30">
        <f>--ISNUMBER(IFERROR(SEARCH(Quote!$G$1,I176,1),""))</f>
        <v>0</v>
      </c>
      <c r="K176" s="30" t="str">
        <f>IF(J176=1,COUNTIF($J$1:J176,1),"")</f>
        <v/>
      </c>
      <c r="L176" s="30" t="str">
        <f>IFERROR(INDEX($I$1:$I$500,MATCH(ROWS($K$1:K176),$K$1:$K$500,0)),"")</f>
        <v/>
      </c>
    </row>
    <row r="177" spans="2:12" x14ac:dyDescent="0.25">
      <c r="B177" s="30">
        <f>--ISNUMBER(IFERROR(SEARCH(Quote!$G$1,A177,1),""))</f>
        <v>0</v>
      </c>
      <c r="C177" s="30" t="str">
        <f>IF(B177=1,COUNTIF($B$1:B177,1),"")</f>
        <v/>
      </c>
      <c r="D177" s="30" t="str">
        <f>IFERROR(INDEX($A$1:$A$10,MATCH(ROWS($C$1:C177),$C$1:$C$10,0)),"")</f>
        <v/>
      </c>
      <c r="F177" s="30">
        <f>--ISNUMBER(IFERROR(SEARCH(Quote!$G$1,E177,1),""))</f>
        <v>0</v>
      </c>
      <c r="G177" s="30" t="str">
        <f>IF(F177=1,COUNTIF($F$1:F177,1),"")</f>
        <v/>
      </c>
      <c r="H177" s="30" t="str">
        <f>IFERROR(INDEX($E$1:$E$15,MATCH(ROWS($G$1:G177),$G$1:$G$15,0)),"")</f>
        <v/>
      </c>
      <c r="J177" s="30">
        <f>--ISNUMBER(IFERROR(SEARCH(Quote!$G$1,I177,1),""))</f>
        <v>0</v>
      </c>
      <c r="K177" s="30" t="str">
        <f>IF(J177=1,COUNTIF($J$1:J177,1),"")</f>
        <v/>
      </c>
      <c r="L177" s="30" t="str">
        <f>IFERROR(INDEX($I$1:$I$500,MATCH(ROWS($K$1:K177),$K$1:$K$500,0)),"")</f>
        <v/>
      </c>
    </row>
    <row r="178" spans="2:12" x14ac:dyDescent="0.25">
      <c r="B178" s="30">
        <f>--ISNUMBER(IFERROR(SEARCH(Quote!$G$1,A178,1),""))</f>
        <v>0</v>
      </c>
      <c r="C178" s="30" t="str">
        <f>IF(B178=1,COUNTIF($B$1:B178,1),"")</f>
        <v/>
      </c>
      <c r="D178" s="30" t="str">
        <f>IFERROR(INDEX($A$1:$A$10,MATCH(ROWS($C$1:C178),$C$1:$C$10,0)),"")</f>
        <v/>
      </c>
      <c r="F178" s="30">
        <f>--ISNUMBER(IFERROR(SEARCH(Quote!$G$1,E178,1),""))</f>
        <v>0</v>
      </c>
      <c r="G178" s="30" t="str">
        <f>IF(F178=1,COUNTIF($F$1:F178,1),"")</f>
        <v/>
      </c>
      <c r="H178" s="30" t="str">
        <f>IFERROR(INDEX($E$1:$E$15,MATCH(ROWS($G$1:G178),$G$1:$G$15,0)),"")</f>
        <v/>
      </c>
      <c r="J178" s="30">
        <f>--ISNUMBER(IFERROR(SEARCH(Quote!$G$1,I178,1),""))</f>
        <v>0</v>
      </c>
      <c r="K178" s="30" t="str">
        <f>IF(J178=1,COUNTIF($J$1:J178,1),"")</f>
        <v/>
      </c>
      <c r="L178" s="30" t="str">
        <f>IFERROR(INDEX($I$1:$I$500,MATCH(ROWS($K$1:K178),$K$1:$K$500,0)),"")</f>
        <v/>
      </c>
    </row>
    <row r="179" spans="2:12" x14ac:dyDescent="0.25">
      <c r="B179" s="30">
        <f>--ISNUMBER(IFERROR(SEARCH(Quote!$G$1,A179,1),""))</f>
        <v>0</v>
      </c>
      <c r="C179" s="30" t="str">
        <f>IF(B179=1,COUNTIF($B$1:B179,1),"")</f>
        <v/>
      </c>
      <c r="D179" s="30" t="str">
        <f>IFERROR(INDEX($A$1:$A$10,MATCH(ROWS($C$1:C179),$C$1:$C$10,0)),"")</f>
        <v/>
      </c>
      <c r="F179" s="30">
        <f>--ISNUMBER(IFERROR(SEARCH(Quote!$G$1,E179,1),""))</f>
        <v>0</v>
      </c>
      <c r="G179" s="30" t="str">
        <f>IF(F179=1,COUNTIF($F$1:F179,1),"")</f>
        <v/>
      </c>
      <c r="H179" s="30" t="str">
        <f>IFERROR(INDEX($E$1:$E$15,MATCH(ROWS($G$1:G179),$G$1:$G$15,0)),"")</f>
        <v/>
      </c>
      <c r="J179" s="30">
        <f>--ISNUMBER(IFERROR(SEARCH(Quote!$G$1,I179,1),""))</f>
        <v>0</v>
      </c>
      <c r="K179" s="30" t="str">
        <f>IF(J179=1,COUNTIF($J$1:J179,1),"")</f>
        <v/>
      </c>
      <c r="L179" s="30" t="str">
        <f>IFERROR(INDEX($I$1:$I$500,MATCH(ROWS($K$1:K179),$K$1:$K$500,0)),"")</f>
        <v/>
      </c>
    </row>
    <row r="180" spans="2:12" x14ac:dyDescent="0.25">
      <c r="B180" s="30">
        <f>--ISNUMBER(IFERROR(SEARCH(Quote!$G$1,A180,1),""))</f>
        <v>0</v>
      </c>
      <c r="C180" s="30" t="str">
        <f>IF(B180=1,COUNTIF($B$1:B180,1),"")</f>
        <v/>
      </c>
      <c r="D180" s="30" t="str">
        <f>IFERROR(INDEX($A$1:$A$10,MATCH(ROWS($C$1:C180),$C$1:$C$10,0)),"")</f>
        <v/>
      </c>
      <c r="F180" s="30">
        <f>--ISNUMBER(IFERROR(SEARCH(Quote!$G$1,E180,1),""))</f>
        <v>0</v>
      </c>
      <c r="G180" s="30" t="str">
        <f>IF(F180=1,COUNTIF($F$1:F180,1),"")</f>
        <v/>
      </c>
      <c r="H180" s="30" t="str">
        <f>IFERROR(INDEX($E$1:$E$15,MATCH(ROWS($G$1:G180),$G$1:$G$15,0)),"")</f>
        <v/>
      </c>
      <c r="J180" s="30">
        <f>--ISNUMBER(IFERROR(SEARCH(Quote!$G$1,I180,1),""))</f>
        <v>0</v>
      </c>
      <c r="K180" s="30" t="str">
        <f>IF(J180=1,COUNTIF($J$1:J180,1),"")</f>
        <v/>
      </c>
      <c r="L180" s="30" t="str">
        <f>IFERROR(INDEX($I$1:$I$500,MATCH(ROWS($K$1:K180),$K$1:$K$500,0)),"")</f>
        <v/>
      </c>
    </row>
    <row r="181" spans="2:12" x14ac:dyDescent="0.25">
      <c r="B181" s="30">
        <f>--ISNUMBER(IFERROR(SEARCH(Quote!$G$1,A181,1),""))</f>
        <v>0</v>
      </c>
      <c r="C181" s="30" t="str">
        <f>IF(B181=1,COUNTIF($B$1:B181,1),"")</f>
        <v/>
      </c>
      <c r="D181" s="30" t="str">
        <f>IFERROR(INDEX($A$1:$A$10,MATCH(ROWS($C$1:C181),$C$1:$C$10,0)),"")</f>
        <v/>
      </c>
      <c r="F181" s="30">
        <f>--ISNUMBER(IFERROR(SEARCH(Quote!$G$1,E181,1),""))</f>
        <v>0</v>
      </c>
      <c r="G181" s="30" t="str">
        <f>IF(F181=1,COUNTIF($F$1:F181,1),"")</f>
        <v/>
      </c>
      <c r="H181" s="30" t="str">
        <f>IFERROR(INDEX($E$1:$E$15,MATCH(ROWS($G$1:G181),$G$1:$G$15,0)),"")</f>
        <v/>
      </c>
      <c r="J181" s="30">
        <f>--ISNUMBER(IFERROR(SEARCH(Quote!$G$1,I181,1),""))</f>
        <v>0</v>
      </c>
      <c r="K181" s="30" t="str">
        <f>IF(J181=1,COUNTIF($J$1:J181,1),"")</f>
        <v/>
      </c>
      <c r="L181" s="30" t="str">
        <f>IFERROR(INDEX($I$1:$I$500,MATCH(ROWS($K$1:K181),$K$1:$K$500,0)),"")</f>
        <v/>
      </c>
    </row>
    <row r="182" spans="2:12" x14ac:dyDescent="0.25">
      <c r="B182" s="30">
        <f>--ISNUMBER(IFERROR(SEARCH(Quote!$G$1,A182,1),""))</f>
        <v>0</v>
      </c>
      <c r="C182" s="30" t="str">
        <f>IF(B182=1,COUNTIF($B$1:B182,1),"")</f>
        <v/>
      </c>
      <c r="D182" s="30" t="str">
        <f>IFERROR(INDEX($A$1:$A$10,MATCH(ROWS($C$1:C182),$C$1:$C$10,0)),"")</f>
        <v/>
      </c>
      <c r="F182" s="30">
        <f>--ISNUMBER(IFERROR(SEARCH(Quote!$G$1,E182,1),""))</f>
        <v>0</v>
      </c>
      <c r="G182" s="30" t="str">
        <f>IF(F182=1,COUNTIF($F$1:F182,1),"")</f>
        <v/>
      </c>
      <c r="H182" s="30" t="str">
        <f>IFERROR(INDEX($E$1:$E$15,MATCH(ROWS($G$1:G182),$G$1:$G$15,0)),"")</f>
        <v/>
      </c>
      <c r="J182" s="30">
        <f>--ISNUMBER(IFERROR(SEARCH(Quote!$G$1,I182,1),""))</f>
        <v>0</v>
      </c>
      <c r="K182" s="30" t="str">
        <f>IF(J182=1,COUNTIF($J$1:J182,1),"")</f>
        <v/>
      </c>
      <c r="L182" s="30" t="str">
        <f>IFERROR(INDEX($I$1:$I$500,MATCH(ROWS($K$1:K182),$K$1:$K$500,0)),"")</f>
        <v/>
      </c>
    </row>
    <row r="183" spans="2:12" x14ac:dyDescent="0.25">
      <c r="B183" s="30">
        <f>--ISNUMBER(IFERROR(SEARCH(Quote!$G$1,A183,1),""))</f>
        <v>0</v>
      </c>
      <c r="C183" s="30" t="str">
        <f>IF(B183=1,COUNTIF($B$1:B183,1),"")</f>
        <v/>
      </c>
      <c r="D183" s="30" t="str">
        <f>IFERROR(INDEX($A$1:$A$10,MATCH(ROWS($C$1:C183),$C$1:$C$10,0)),"")</f>
        <v/>
      </c>
      <c r="F183" s="30">
        <f>--ISNUMBER(IFERROR(SEARCH(Quote!$G$1,E183,1),""))</f>
        <v>0</v>
      </c>
      <c r="G183" s="30" t="str">
        <f>IF(F183=1,COUNTIF($F$1:F183,1),"")</f>
        <v/>
      </c>
      <c r="H183" s="30" t="str">
        <f>IFERROR(INDEX($E$1:$E$15,MATCH(ROWS($G$1:G183),$G$1:$G$15,0)),"")</f>
        <v/>
      </c>
      <c r="J183" s="30">
        <f>--ISNUMBER(IFERROR(SEARCH(Quote!$G$1,I183,1),""))</f>
        <v>0</v>
      </c>
      <c r="K183" s="30" t="str">
        <f>IF(J183=1,COUNTIF($J$1:J183,1),"")</f>
        <v/>
      </c>
      <c r="L183" s="30" t="str">
        <f>IFERROR(INDEX($I$1:$I$500,MATCH(ROWS($K$1:K183),$K$1:$K$500,0)),"")</f>
        <v/>
      </c>
    </row>
    <row r="184" spans="2:12" x14ac:dyDescent="0.25">
      <c r="B184" s="30">
        <f>--ISNUMBER(IFERROR(SEARCH(Quote!$G$1,A184,1),""))</f>
        <v>0</v>
      </c>
      <c r="C184" s="30" t="str">
        <f>IF(B184=1,COUNTIF($B$1:B184,1),"")</f>
        <v/>
      </c>
      <c r="D184" s="30" t="str">
        <f>IFERROR(INDEX($A$1:$A$10,MATCH(ROWS($C$1:C184),$C$1:$C$10,0)),"")</f>
        <v/>
      </c>
      <c r="F184" s="30">
        <f>--ISNUMBER(IFERROR(SEARCH(Quote!$G$1,E184,1),""))</f>
        <v>0</v>
      </c>
      <c r="G184" s="30" t="str">
        <f>IF(F184=1,COUNTIF($F$1:F184,1),"")</f>
        <v/>
      </c>
      <c r="H184" s="30" t="str">
        <f>IFERROR(INDEX($E$1:$E$15,MATCH(ROWS($G$1:G184),$G$1:$G$15,0)),"")</f>
        <v/>
      </c>
      <c r="J184" s="30">
        <f>--ISNUMBER(IFERROR(SEARCH(Quote!$G$1,I184,1),""))</f>
        <v>0</v>
      </c>
      <c r="K184" s="30" t="str">
        <f>IF(J184=1,COUNTIF($J$1:J184,1),"")</f>
        <v/>
      </c>
      <c r="L184" s="30" t="str">
        <f>IFERROR(INDEX($I$1:$I$500,MATCH(ROWS($K$1:K184),$K$1:$K$500,0)),"")</f>
        <v/>
      </c>
    </row>
    <row r="185" spans="2:12" x14ac:dyDescent="0.25">
      <c r="B185" s="30">
        <f>--ISNUMBER(IFERROR(SEARCH(Quote!$G$1,A185,1),""))</f>
        <v>0</v>
      </c>
      <c r="C185" s="30" t="str">
        <f>IF(B185=1,COUNTIF($B$1:B185,1),"")</f>
        <v/>
      </c>
      <c r="D185" s="30" t="str">
        <f>IFERROR(INDEX($A$1:$A$10,MATCH(ROWS($C$1:C185),$C$1:$C$10,0)),"")</f>
        <v/>
      </c>
      <c r="F185" s="30">
        <f>--ISNUMBER(IFERROR(SEARCH(Quote!$G$1,E185,1),""))</f>
        <v>0</v>
      </c>
      <c r="G185" s="30" t="str">
        <f>IF(F185=1,COUNTIF($F$1:F185,1),"")</f>
        <v/>
      </c>
      <c r="H185" s="30" t="str">
        <f>IFERROR(INDEX($E$1:$E$15,MATCH(ROWS($G$1:G185),$G$1:$G$15,0)),"")</f>
        <v/>
      </c>
      <c r="J185" s="30">
        <f>--ISNUMBER(IFERROR(SEARCH(Quote!$G$1,I185,1),""))</f>
        <v>0</v>
      </c>
      <c r="K185" s="30" t="str">
        <f>IF(J185=1,COUNTIF($J$1:J185,1),"")</f>
        <v/>
      </c>
      <c r="L185" s="30" t="str">
        <f>IFERROR(INDEX($I$1:$I$500,MATCH(ROWS($K$1:K185),$K$1:$K$500,0)),"")</f>
        <v/>
      </c>
    </row>
    <row r="186" spans="2:12" x14ac:dyDescent="0.25">
      <c r="B186" s="30">
        <f>--ISNUMBER(IFERROR(SEARCH(Quote!$G$1,A186,1),""))</f>
        <v>0</v>
      </c>
      <c r="C186" s="30" t="str">
        <f>IF(B186=1,COUNTIF($B$1:B186,1),"")</f>
        <v/>
      </c>
      <c r="D186" s="30" t="str">
        <f>IFERROR(INDEX($A$1:$A$10,MATCH(ROWS($C$1:C186),$C$1:$C$10,0)),"")</f>
        <v/>
      </c>
      <c r="F186" s="30">
        <f>--ISNUMBER(IFERROR(SEARCH(Quote!$G$1,E186,1),""))</f>
        <v>0</v>
      </c>
      <c r="G186" s="30" t="str">
        <f>IF(F186=1,COUNTIF($F$1:F186,1),"")</f>
        <v/>
      </c>
      <c r="H186" s="30" t="str">
        <f>IFERROR(INDEX($E$1:$E$15,MATCH(ROWS($G$1:G186),$G$1:$G$15,0)),"")</f>
        <v/>
      </c>
      <c r="J186" s="30">
        <f>--ISNUMBER(IFERROR(SEARCH(Quote!$G$1,I186,1),""))</f>
        <v>0</v>
      </c>
      <c r="K186" s="30" t="str">
        <f>IF(J186=1,COUNTIF($J$1:J186,1),"")</f>
        <v/>
      </c>
      <c r="L186" s="30" t="str">
        <f>IFERROR(INDEX($I$1:$I$500,MATCH(ROWS($K$1:K186),$K$1:$K$500,0)),"")</f>
        <v/>
      </c>
    </row>
    <row r="187" spans="2:12" x14ac:dyDescent="0.25">
      <c r="B187" s="30">
        <f>--ISNUMBER(IFERROR(SEARCH(Quote!$G$1,A187,1),""))</f>
        <v>0</v>
      </c>
      <c r="C187" s="30" t="str">
        <f>IF(B187=1,COUNTIF($B$1:B187,1),"")</f>
        <v/>
      </c>
      <c r="D187" s="30" t="str">
        <f>IFERROR(INDEX($A$1:$A$10,MATCH(ROWS($C$1:C187),$C$1:$C$10,0)),"")</f>
        <v/>
      </c>
      <c r="F187" s="30">
        <f>--ISNUMBER(IFERROR(SEARCH(Quote!$G$1,E187,1),""))</f>
        <v>0</v>
      </c>
      <c r="G187" s="30" t="str">
        <f>IF(F187=1,COUNTIF($F$1:F187,1),"")</f>
        <v/>
      </c>
      <c r="H187" s="30" t="str">
        <f>IFERROR(INDEX($E$1:$E$15,MATCH(ROWS($G$1:G187),$G$1:$G$15,0)),"")</f>
        <v/>
      </c>
      <c r="J187" s="30">
        <f>--ISNUMBER(IFERROR(SEARCH(Quote!$G$1,I187,1),""))</f>
        <v>0</v>
      </c>
      <c r="K187" s="30" t="str">
        <f>IF(J187=1,COUNTIF($J$1:J187,1),"")</f>
        <v/>
      </c>
      <c r="L187" s="30" t="str">
        <f>IFERROR(INDEX($I$1:$I$500,MATCH(ROWS($K$1:K187),$K$1:$K$500,0)),"")</f>
        <v/>
      </c>
    </row>
    <row r="188" spans="2:12" x14ac:dyDescent="0.25">
      <c r="B188" s="30">
        <f>--ISNUMBER(IFERROR(SEARCH(Quote!$G$1,A188,1),""))</f>
        <v>0</v>
      </c>
      <c r="C188" s="30" t="str">
        <f>IF(B188=1,COUNTIF($B$1:B188,1),"")</f>
        <v/>
      </c>
      <c r="D188" s="30" t="str">
        <f>IFERROR(INDEX($A$1:$A$10,MATCH(ROWS($C$1:C188),$C$1:$C$10,0)),"")</f>
        <v/>
      </c>
      <c r="F188" s="30">
        <f>--ISNUMBER(IFERROR(SEARCH(Quote!$G$1,E188,1),""))</f>
        <v>0</v>
      </c>
      <c r="G188" s="30" t="str">
        <f>IF(F188=1,COUNTIF($F$1:F188,1),"")</f>
        <v/>
      </c>
      <c r="H188" s="30" t="str">
        <f>IFERROR(INDEX($E$1:$E$15,MATCH(ROWS($G$1:G188),$G$1:$G$15,0)),"")</f>
        <v/>
      </c>
      <c r="J188" s="30">
        <f>--ISNUMBER(IFERROR(SEARCH(Quote!$G$1,I188,1),""))</f>
        <v>0</v>
      </c>
      <c r="K188" s="30" t="str">
        <f>IF(J188=1,COUNTIF($J$1:J188,1),"")</f>
        <v/>
      </c>
      <c r="L188" s="30" t="str">
        <f>IFERROR(INDEX($I$1:$I$500,MATCH(ROWS($K$1:K188),$K$1:$K$500,0)),"")</f>
        <v/>
      </c>
    </row>
    <row r="189" spans="2:12" x14ac:dyDescent="0.25">
      <c r="B189" s="30">
        <f>--ISNUMBER(IFERROR(SEARCH(Quote!$G$1,A189,1),""))</f>
        <v>0</v>
      </c>
      <c r="C189" s="30" t="str">
        <f>IF(B189=1,COUNTIF($B$1:B189,1),"")</f>
        <v/>
      </c>
      <c r="D189" s="30" t="str">
        <f>IFERROR(INDEX($A$1:$A$10,MATCH(ROWS($C$1:C189),$C$1:$C$10,0)),"")</f>
        <v/>
      </c>
      <c r="F189" s="30">
        <f>--ISNUMBER(IFERROR(SEARCH(Quote!$G$1,E189,1),""))</f>
        <v>0</v>
      </c>
      <c r="G189" s="30" t="str">
        <f>IF(F189=1,COUNTIF($F$1:F189,1),"")</f>
        <v/>
      </c>
      <c r="H189" s="30" t="str">
        <f>IFERROR(INDEX($E$1:$E$15,MATCH(ROWS($G$1:G189),$G$1:$G$15,0)),"")</f>
        <v/>
      </c>
      <c r="J189" s="30">
        <f>--ISNUMBER(IFERROR(SEARCH(Quote!$G$1,I189,1),""))</f>
        <v>0</v>
      </c>
      <c r="K189" s="30" t="str">
        <f>IF(J189=1,COUNTIF($J$1:J189,1),"")</f>
        <v/>
      </c>
      <c r="L189" s="30" t="str">
        <f>IFERROR(INDEX($I$1:$I$500,MATCH(ROWS($K$1:K189),$K$1:$K$500,0)),"")</f>
        <v/>
      </c>
    </row>
    <row r="190" spans="2:12" x14ac:dyDescent="0.25">
      <c r="B190" s="30">
        <f>--ISNUMBER(IFERROR(SEARCH(Quote!$G$1,A190,1),""))</f>
        <v>0</v>
      </c>
      <c r="C190" s="30" t="str">
        <f>IF(B190=1,COUNTIF($B$1:B190,1),"")</f>
        <v/>
      </c>
      <c r="D190" s="30" t="str">
        <f>IFERROR(INDEX($A$1:$A$10,MATCH(ROWS($C$1:C190),$C$1:$C$10,0)),"")</f>
        <v/>
      </c>
      <c r="F190" s="30">
        <f>--ISNUMBER(IFERROR(SEARCH(Quote!$G$1,E190,1),""))</f>
        <v>0</v>
      </c>
      <c r="G190" s="30" t="str">
        <f>IF(F190=1,COUNTIF($F$1:F190,1),"")</f>
        <v/>
      </c>
      <c r="H190" s="30" t="str">
        <f>IFERROR(INDEX($E$1:$E$15,MATCH(ROWS($G$1:G190),$G$1:$G$15,0)),"")</f>
        <v/>
      </c>
      <c r="J190" s="30">
        <f>--ISNUMBER(IFERROR(SEARCH(Quote!$G$1,I190,1),""))</f>
        <v>0</v>
      </c>
      <c r="K190" s="30" t="str">
        <f>IF(J190=1,COUNTIF($J$1:J190,1),"")</f>
        <v/>
      </c>
      <c r="L190" s="30" t="str">
        <f>IFERROR(INDEX($I$1:$I$500,MATCH(ROWS($K$1:K190),$K$1:$K$500,0)),"")</f>
        <v/>
      </c>
    </row>
    <row r="191" spans="2:12" x14ac:dyDescent="0.25">
      <c r="B191" s="30">
        <f>--ISNUMBER(IFERROR(SEARCH(Quote!$G$1,A191,1),""))</f>
        <v>0</v>
      </c>
      <c r="C191" s="30" t="str">
        <f>IF(B191=1,COUNTIF($B$1:B191,1),"")</f>
        <v/>
      </c>
      <c r="D191" s="30" t="str">
        <f>IFERROR(INDEX($A$1:$A$10,MATCH(ROWS($C$1:C191),$C$1:$C$10,0)),"")</f>
        <v/>
      </c>
      <c r="F191" s="30">
        <f>--ISNUMBER(IFERROR(SEARCH(Quote!$G$1,E191,1),""))</f>
        <v>0</v>
      </c>
      <c r="G191" s="30" t="str">
        <f>IF(F191=1,COUNTIF($F$1:F191,1),"")</f>
        <v/>
      </c>
      <c r="H191" s="30" t="str">
        <f>IFERROR(INDEX($E$1:$E$15,MATCH(ROWS($G$1:G191),$G$1:$G$15,0)),"")</f>
        <v/>
      </c>
      <c r="J191" s="30">
        <f>--ISNUMBER(IFERROR(SEARCH(Quote!$G$1,I191,1),""))</f>
        <v>0</v>
      </c>
      <c r="K191" s="30" t="str">
        <f>IF(J191=1,COUNTIF($J$1:J191,1),"")</f>
        <v/>
      </c>
      <c r="L191" s="30" t="str">
        <f>IFERROR(INDEX($I$1:$I$500,MATCH(ROWS($K$1:K191),$K$1:$K$500,0)),"")</f>
        <v/>
      </c>
    </row>
    <row r="192" spans="2:12" x14ac:dyDescent="0.25">
      <c r="B192" s="30">
        <f>--ISNUMBER(IFERROR(SEARCH(Quote!$G$1,A192,1),""))</f>
        <v>0</v>
      </c>
      <c r="C192" s="30" t="str">
        <f>IF(B192=1,COUNTIF($B$1:B192,1),"")</f>
        <v/>
      </c>
      <c r="D192" s="30" t="str">
        <f>IFERROR(INDEX($A$1:$A$10,MATCH(ROWS($C$1:C192),$C$1:$C$10,0)),"")</f>
        <v/>
      </c>
      <c r="F192" s="30">
        <f>--ISNUMBER(IFERROR(SEARCH(Quote!$G$1,E192,1),""))</f>
        <v>0</v>
      </c>
      <c r="G192" s="30" t="str">
        <f>IF(F192=1,COUNTIF($F$1:F192,1),"")</f>
        <v/>
      </c>
      <c r="H192" s="30" t="str">
        <f>IFERROR(INDEX($E$1:$E$15,MATCH(ROWS($G$1:G192),$G$1:$G$15,0)),"")</f>
        <v/>
      </c>
      <c r="J192" s="30">
        <f>--ISNUMBER(IFERROR(SEARCH(Quote!$G$1,I192,1),""))</f>
        <v>0</v>
      </c>
      <c r="K192" s="30" t="str">
        <f>IF(J192=1,COUNTIF($J$1:J192,1),"")</f>
        <v/>
      </c>
      <c r="L192" s="30" t="str">
        <f>IFERROR(INDEX($I$1:$I$500,MATCH(ROWS($K$1:K192),$K$1:$K$500,0)),"")</f>
        <v/>
      </c>
    </row>
    <row r="193" spans="2:12" x14ac:dyDescent="0.25">
      <c r="B193" s="30">
        <f>--ISNUMBER(IFERROR(SEARCH(Quote!$G$1,A193,1),""))</f>
        <v>0</v>
      </c>
      <c r="C193" s="30" t="str">
        <f>IF(B193=1,COUNTIF($B$1:B193,1),"")</f>
        <v/>
      </c>
      <c r="D193" s="30" t="str">
        <f>IFERROR(INDEX($A$1:$A$10,MATCH(ROWS($C$1:C193),$C$1:$C$10,0)),"")</f>
        <v/>
      </c>
      <c r="F193" s="30">
        <f>--ISNUMBER(IFERROR(SEARCH(Quote!$G$1,E193,1),""))</f>
        <v>0</v>
      </c>
      <c r="G193" s="30" t="str">
        <f>IF(F193=1,COUNTIF($F$1:F193,1),"")</f>
        <v/>
      </c>
      <c r="H193" s="30" t="str">
        <f>IFERROR(INDEX($E$1:$E$15,MATCH(ROWS($G$1:G193),$G$1:$G$15,0)),"")</f>
        <v/>
      </c>
      <c r="J193" s="30">
        <f>--ISNUMBER(IFERROR(SEARCH(Quote!$G$1,I193,1),""))</f>
        <v>0</v>
      </c>
      <c r="K193" s="30" t="str">
        <f>IF(J193=1,COUNTIF($J$1:J193,1),"")</f>
        <v/>
      </c>
      <c r="L193" s="30" t="str">
        <f>IFERROR(INDEX($I$1:$I$500,MATCH(ROWS($K$1:K193),$K$1:$K$500,0)),"")</f>
        <v/>
      </c>
    </row>
    <row r="194" spans="2:12" x14ac:dyDescent="0.25">
      <c r="B194" s="30">
        <f>--ISNUMBER(IFERROR(SEARCH(Quote!$G$1,A194,1),""))</f>
        <v>0</v>
      </c>
      <c r="C194" s="30" t="str">
        <f>IF(B194=1,COUNTIF($B$1:B194,1),"")</f>
        <v/>
      </c>
      <c r="D194" s="30" t="str">
        <f>IFERROR(INDEX($A$1:$A$10,MATCH(ROWS($C$1:C194),$C$1:$C$10,0)),"")</f>
        <v/>
      </c>
      <c r="F194" s="30">
        <f>--ISNUMBER(IFERROR(SEARCH(Quote!$G$1,E194,1),""))</f>
        <v>0</v>
      </c>
      <c r="G194" s="30" t="str">
        <f>IF(F194=1,COUNTIF($F$1:F194,1),"")</f>
        <v/>
      </c>
      <c r="H194" s="30" t="str">
        <f>IFERROR(INDEX($E$1:$E$15,MATCH(ROWS($G$1:G194),$G$1:$G$15,0)),"")</f>
        <v/>
      </c>
      <c r="J194" s="30">
        <f>--ISNUMBER(IFERROR(SEARCH(Quote!$G$1,I194,1),""))</f>
        <v>0</v>
      </c>
      <c r="K194" s="30" t="str">
        <f>IF(J194=1,COUNTIF($J$1:J194,1),"")</f>
        <v/>
      </c>
      <c r="L194" s="30" t="str">
        <f>IFERROR(INDEX($I$1:$I$500,MATCH(ROWS($K$1:K194),$K$1:$K$500,0)),"")</f>
        <v/>
      </c>
    </row>
    <row r="195" spans="2:12" x14ac:dyDescent="0.25">
      <c r="B195" s="30">
        <f>--ISNUMBER(IFERROR(SEARCH(Quote!$G$1,A195,1),""))</f>
        <v>0</v>
      </c>
      <c r="C195" s="30" t="str">
        <f>IF(B195=1,COUNTIF($B$1:B195,1),"")</f>
        <v/>
      </c>
      <c r="D195" s="30" t="str">
        <f>IFERROR(INDEX($A$1:$A$10,MATCH(ROWS($C$1:C195),$C$1:$C$10,0)),"")</f>
        <v/>
      </c>
      <c r="F195" s="30">
        <f>--ISNUMBER(IFERROR(SEARCH(Quote!$G$1,E195,1),""))</f>
        <v>0</v>
      </c>
      <c r="G195" s="30" t="str">
        <f>IF(F195=1,COUNTIF($F$1:F195,1),"")</f>
        <v/>
      </c>
      <c r="H195" s="30" t="str">
        <f>IFERROR(INDEX($E$1:$E$15,MATCH(ROWS($G$1:G195),$G$1:$G$15,0)),"")</f>
        <v/>
      </c>
      <c r="J195" s="30">
        <f>--ISNUMBER(IFERROR(SEARCH(Quote!$G$1,I195,1),""))</f>
        <v>0</v>
      </c>
      <c r="K195" s="30" t="str">
        <f>IF(J195=1,COUNTIF($J$1:J195,1),"")</f>
        <v/>
      </c>
      <c r="L195" s="30" t="str">
        <f>IFERROR(INDEX($I$1:$I$500,MATCH(ROWS($K$1:K195),$K$1:$K$500,0)),"")</f>
        <v/>
      </c>
    </row>
    <row r="196" spans="2:12" x14ac:dyDescent="0.25">
      <c r="B196" s="30">
        <f>--ISNUMBER(IFERROR(SEARCH(Quote!$G$1,A196,1),""))</f>
        <v>0</v>
      </c>
      <c r="C196" s="30" t="str">
        <f>IF(B196=1,COUNTIF($B$1:B196,1),"")</f>
        <v/>
      </c>
      <c r="D196" s="30" t="str">
        <f>IFERROR(INDEX($A$1:$A$10,MATCH(ROWS($C$1:C196),$C$1:$C$10,0)),"")</f>
        <v/>
      </c>
      <c r="F196" s="30">
        <f>--ISNUMBER(IFERROR(SEARCH(Quote!$G$1,E196,1),""))</f>
        <v>0</v>
      </c>
      <c r="G196" s="30" t="str">
        <f>IF(F196=1,COUNTIF($F$1:F196,1),"")</f>
        <v/>
      </c>
      <c r="H196" s="30" t="str">
        <f>IFERROR(INDEX($E$1:$E$15,MATCH(ROWS($G$1:G196),$G$1:$G$15,0)),"")</f>
        <v/>
      </c>
      <c r="J196" s="30">
        <f>--ISNUMBER(IFERROR(SEARCH(Quote!$G$1,I196,1),""))</f>
        <v>0</v>
      </c>
      <c r="K196" s="30" t="str">
        <f>IF(J196=1,COUNTIF($J$1:J196,1),"")</f>
        <v/>
      </c>
      <c r="L196" s="30" t="str">
        <f>IFERROR(INDEX($I$1:$I$500,MATCH(ROWS($K$1:K196),$K$1:$K$500,0)),"")</f>
        <v/>
      </c>
    </row>
    <row r="197" spans="2:12" x14ac:dyDescent="0.25">
      <c r="B197" s="30">
        <f>--ISNUMBER(IFERROR(SEARCH(Quote!$G$1,A197,1),""))</f>
        <v>0</v>
      </c>
      <c r="C197" s="30" t="str">
        <f>IF(B197=1,COUNTIF($B$1:B197,1),"")</f>
        <v/>
      </c>
      <c r="D197" s="30" t="str">
        <f>IFERROR(INDEX($A$1:$A$10,MATCH(ROWS($C$1:C197),$C$1:$C$10,0)),"")</f>
        <v/>
      </c>
      <c r="F197" s="30">
        <f>--ISNUMBER(IFERROR(SEARCH(Quote!$G$1,E197,1),""))</f>
        <v>0</v>
      </c>
      <c r="G197" s="30" t="str">
        <f>IF(F197=1,COUNTIF($F$1:F197,1),"")</f>
        <v/>
      </c>
      <c r="H197" s="30" t="str">
        <f>IFERROR(INDEX($E$1:$E$15,MATCH(ROWS($G$1:G197),$G$1:$G$15,0)),"")</f>
        <v/>
      </c>
      <c r="J197" s="30">
        <f>--ISNUMBER(IFERROR(SEARCH(Quote!$G$1,I197,1),""))</f>
        <v>0</v>
      </c>
      <c r="K197" s="30" t="str">
        <f>IF(J197=1,COUNTIF($J$1:J197,1),"")</f>
        <v/>
      </c>
      <c r="L197" s="30" t="str">
        <f>IFERROR(INDEX($I$1:$I$500,MATCH(ROWS($K$1:K197),$K$1:$K$500,0)),"")</f>
        <v/>
      </c>
    </row>
    <row r="198" spans="2:12" x14ac:dyDescent="0.25">
      <c r="B198" s="30">
        <f>--ISNUMBER(IFERROR(SEARCH(Quote!$G$1,A198,1),""))</f>
        <v>0</v>
      </c>
      <c r="C198" s="30" t="str">
        <f>IF(B198=1,COUNTIF($B$1:B198,1),"")</f>
        <v/>
      </c>
      <c r="D198" s="30" t="str">
        <f>IFERROR(INDEX($A$1:$A$10,MATCH(ROWS($C$1:C198),$C$1:$C$10,0)),"")</f>
        <v/>
      </c>
      <c r="F198" s="30">
        <f>--ISNUMBER(IFERROR(SEARCH(Quote!$G$1,E198,1),""))</f>
        <v>0</v>
      </c>
      <c r="G198" s="30" t="str">
        <f>IF(F198=1,COUNTIF($F$1:F198,1),"")</f>
        <v/>
      </c>
      <c r="H198" s="30" t="str">
        <f>IFERROR(INDEX($E$1:$E$15,MATCH(ROWS($G$1:G198),$G$1:$G$15,0)),"")</f>
        <v/>
      </c>
      <c r="J198" s="30">
        <f>--ISNUMBER(IFERROR(SEARCH(Quote!$G$1,I198,1),""))</f>
        <v>0</v>
      </c>
      <c r="K198" s="30" t="str">
        <f>IF(J198=1,COUNTIF($J$1:J198,1),"")</f>
        <v/>
      </c>
      <c r="L198" s="30" t="str">
        <f>IFERROR(INDEX($I$1:$I$500,MATCH(ROWS($K$1:K198),$K$1:$K$500,0)),"")</f>
        <v/>
      </c>
    </row>
    <row r="199" spans="2:12" x14ac:dyDescent="0.25">
      <c r="B199" s="30">
        <f>--ISNUMBER(IFERROR(SEARCH(Quote!$G$1,A199,1),""))</f>
        <v>0</v>
      </c>
      <c r="C199" s="30" t="str">
        <f>IF(B199=1,COUNTIF($B$1:B199,1),"")</f>
        <v/>
      </c>
      <c r="D199" s="30" t="str">
        <f>IFERROR(INDEX($A$1:$A$10,MATCH(ROWS($C$1:C199),$C$1:$C$10,0)),"")</f>
        <v/>
      </c>
      <c r="F199" s="30">
        <f>--ISNUMBER(IFERROR(SEARCH(Quote!$G$1,E199,1),""))</f>
        <v>0</v>
      </c>
      <c r="G199" s="30" t="str">
        <f>IF(F199=1,COUNTIF($F$1:F199,1),"")</f>
        <v/>
      </c>
      <c r="H199" s="30" t="str">
        <f>IFERROR(INDEX($E$1:$E$15,MATCH(ROWS($G$1:G199),$G$1:$G$15,0)),"")</f>
        <v/>
      </c>
      <c r="J199" s="30">
        <f>--ISNUMBER(IFERROR(SEARCH(Quote!$G$1,I199,1),""))</f>
        <v>0</v>
      </c>
      <c r="K199" s="30" t="str">
        <f>IF(J199=1,COUNTIF($J$1:J199,1),"")</f>
        <v/>
      </c>
      <c r="L199" s="30" t="str">
        <f>IFERROR(INDEX($I$1:$I$500,MATCH(ROWS($K$1:K199),$K$1:$K$500,0)),"")</f>
        <v/>
      </c>
    </row>
    <row r="200" spans="2:12" x14ac:dyDescent="0.25">
      <c r="B200" s="30">
        <f>--ISNUMBER(IFERROR(SEARCH(Quote!$G$1,A200,1),""))</f>
        <v>0</v>
      </c>
      <c r="C200" s="30" t="str">
        <f>IF(B200=1,COUNTIF($B$1:B200,1),"")</f>
        <v/>
      </c>
      <c r="D200" s="30" t="str">
        <f>IFERROR(INDEX($A$1:$A$10,MATCH(ROWS($C$1:C200),$C$1:$C$10,0)),"")</f>
        <v/>
      </c>
      <c r="F200" s="30">
        <f>--ISNUMBER(IFERROR(SEARCH(Quote!$G$1,E200,1),""))</f>
        <v>0</v>
      </c>
      <c r="G200" s="30" t="str">
        <f>IF(F200=1,COUNTIF($F$1:F200,1),"")</f>
        <v/>
      </c>
      <c r="H200" s="30" t="str">
        <f>IFERROR(INDEX($E$1:$E$15,MATCH(ROWS($G$1:G200),$G$1:$G$15,0)),"")</f>
        <v/>
      </c>
      <c r="J200" s="30">
        <f>--ISNUMBER(IFERROR(SEARCH(Quote!$G$1,I200,1),""))</f>
        <v>0</v>
      </c>
      <c r="K200" s="30" t="str">
        <f>IF(J200=1,COUNTIF($J$1:J200,1),"")</f>
        <v/>
      </c>
      <c r="L200" s="30" t="str">
        <f>IFERROR(INDEX($I$1:$I$500,MATCH(ROWS($K$1:K200),$K$1:$K$500,0)),"")</f>
        <v/>
      </c>
    </row>
    <row r="201" spans="2:12" x14ac:dyDescent="0.25">
      <c r="J201" s="30">
        <f>--ISNUMBER(IFERROR(SEARCH(Quote!$G$1,I201,1),""))</f>
        <v>0</v>
      </c>
      <c r="K201" s="30" t="str">
        <f>IF(J201=1,COUNTIF($J$1:J201,1),"")</f>
        <v/>
      </c>
      <c r="L201" s="30" t="str">
        <f>IFERROR(INDEX($I$1:$I$500,MATCH(ROWS($K$1:K201),$K$1:$K$500,0)),"")</f>
        <v/>
      </c>
    </row>
    <row r="202" spans="2:12" x14ac:dyDescent="0.25">
      <c r="J202" s="30">
        <f>--ISNUMBER(IFERROR(SEARCH(Quote!$G$1,I202,1),""))</f>
        <v>0</v>
      </c>
      <c r="K202" s="30" t="str">
        <f>IF(J202=1,COUNTIF($J$1:J202,1),"")</f>
        <v/>
      </c>
      <c r="L202" s="30" t="str">
        <f>IFERROR(INDEX($I$1:$I$500,MATCH(ROWS($K$1:K202),$K$1:$K$500,0)),"")</f>
        <v/>
      </c>
    </row>
    <row r="203" spans="2:12" x14ac:dyDescent="0.25">
      <c r="J203" s="30">
        <f>--ISNUMBER(IFERROR(SEARCH(Quote!$G$1,I203,1),""))</f>
        <v>0</v>
      </c>
      <c r="K203" s="30" t="str">
        <f>IF(J203=1,COUNTIF($J$1:J203,1),"")</f>
        <v/>
      </c>
      <c r="L203" s="30" t="str">
        <f>IFERROR(INDEX($I$1:$I$500,MATCH(ROWS($K$1:K203),$K$1:$K$500,0)),"")</f>
        <v/>
      </c>
    </row>
    <row r="204" spans="2:12" x14ac:dyDescent="0.25">
      <c r="J204" s="30">
        <f>--ISNUMBER(IFERROR(SEARCH(Quote!$G$1,I204,1),""))</f>
        <v>0</v>
      </c>
      <c r="K204" s="30" t="str">
        <f>IF(J204=1,COUNTIF($J$1:J204,1),"")</f>
        <v/>
      </c>
      <c r="L204" s="30" t="str">
        <f>IFERROR(INDEX($I$1:$I$500,MATCH(ROWS($K$1:K204),$K$1:$K$500,0)),"")</f>
        <v/>
      </c>
    </row>
    <row r="205" spans="2:12" x14ac:dyDescent="0.25">
      <c r="J205" s="30">
        <f>--ISNUMBER(IFERROR(SEARCH(Quote!$G$1,I205,1),""))</f>
        <v>0</v>
      </c>
      <c r="K205" s="30" t="str">
        <f>IF(J205=1,COUNTIF($J$1:J205,1),"")</f>
        <v/>
      </c>
      <c r="L205" s="30" t="str">
        <f>IFERROR(INDEX($I$1:$I$500,MATCH(ROWS($K$1:K205),$K$1:$K$500,0)),"")</f>
        <v/>
      </c>
    </row>
    <row r="206" spans="2:12" x14ac:dyDescent="0.25">
      <c r="J206" s="30">
        <f>--ISNUMBER(IFERROR(SEARCH(Quote!$G$1,I206,1),""))</f>
        <v>0</v>
      </c>
      <c r="K206" s="30" t="str">
        <f>IF(J206=1,COUNTIF($J$1:J206,1),"")</f>
        <v/>
      </c>
      <c r="L206" s="30" t="str">
        <f>IFERROR(INDEX($I$1:$I$500,MATCH(ROWS($K$1:K206),$K$1:$K$500,0)),"")</f>
        <v/>
      </c>
    </row>
    <row r="207" spans="2:12" x14ac:dyDescent="0.25">
      <c r="J207" s="30">
        <f>--ISNUMBER(IFERROR(SEARCH(Quote!$G$1,I207,1),""))</f>
        <v>0</v>
      </c>
      <c r="K207" s="30" t="str">
        <f>IF(J207=1,COUNTIF($J$1:J207,1),"")</f>
        <v/>
      </c>
      <c r="L207" s="30" t="str">
        <f>IFERROR(INDEX($I$1:$I$500,MATCH(ROWS($K$1:K207),$K$1:$K$500,0)),"")</f>
        <v/>
      </c>
    </row>
    <row r="208" spans="2:12" x14ac:dyDescent="0.25">
      <c r="J208" s="30">
        <f>--ISNUMBER(IFERROR(SEARCH(Quote!$G$1,I208,1),""))</f>
        <v>0</v>
      </c>
      <c r="K208" s="30" t="str">
        <f>IF(J208=1,COUNTIF($J$1:J208,1),"")</f>
        <v/>
      </c>
      <c r="L208" s="30" t="str">
        <f>IFERROR(INDEX($I$1:$I$500,MATCH(ROWS($K$1:K208),$K$1:$K$500,0)),"")</f>
        <v/>
      </c>
    </row>
    <row r="209" spans="10:12" x14ac:dyDescent="0.25">
      <c r="J209" s="30">
        <f>--ISNUMBER(IFERROR(SEARCH(Quote!$G$1,I209,1),""))</f>
        <v>0</v>
      </c>
      <c r="K209" s="30" t="str">
        <f>IF(J209=1,COUNTIF($J$1:J209,1),"")</f>
        <v/>
      </c>
      <c r="L209" s="30" t="str">
        <f>IFERROR(INDEX($I$1:$I$500,MATCH(ROWS($K$1:K209),$K$1:$K$500,0)),"")</f>
        <v/>
      </c>
    </row>
    <row r="210" spans="10:12" x14ac:dyDescent="0.25">
      <c r="J210" s="30">
        <f>--ISNUMBER(IFERROR(SEARCH(Quote!$G$1,I210,1),""))</f>
        <v>0</v>
      </c>
      <c r="K210" s="30" t="str">
        <f>IF(J210=1,COUNTIF($J$1:J210,1),"")</f>
        <v/>
      </c>
      <c r="L210" s="30" t="str">
        <f>IFERROR(INDEX($I$1:$I$500,MATCH(ROWS($K$1:K210),$K$1:$K$500,0)),"")</f>
        <v/>
      </c>
    </row>
    <row r="211" spans="10:12" x14ac:dyDescent="0.25">
      <c r="J211" s="30">
        <f>--ISNUMBER(IFERROR(SEARCH(Quote!$G$1,I211,1),""))</f>
        <v>0</v>
      </c>
      <c r="K211" s="30" t="str">
        <f>IF(J211=1,COUNTIF($J$1:J211,1),"")</f>
        <v/>
      </c>
      <c r="L211" s="30" t="str">
        <f>IFERROR(INDEX($I$1:$I$500,MATCH(ROWS($K$1:K211),$K$1:$K$500,0)),"")</f>
        <v/>
      </c>
    </row>
    <row r="212" spans="10:12" x14ac:dyDescent="0.25">
      <c r="J212" s="30">
        <f>--ISNUMBER(IFERROR(SEARCH(Quote!$G$1,I212,1),""))</f>
        <v>0</v>
      </c>
      <c r="K212" s="30" t="str">
        <f>IF(J212=1,COUNTIF($J$1:J212,1),"")</f>
        <v/>
      </c>
      <c r="L212" s="30" t="str">
        <f>IFERROR(INDEX($I$1:$I$500,MATCH(ROWS($K$1:K212),$K$1:$K$500,0)),"")</f>
        <v/>
      </c>
    </row>
    <row r="213" spans="10:12" x14ac:dyDescent="0.25">
      <c r="J213" s="30">
        <f>--ISNUMBER(IFERROR(SEARCH(Quote!$G$1,I213,1),""))</f>
        <v>0</v>
      </c>
      <c r="K213" s="30" t="str">
        <f>IF(J213=1,COUNTIF($J$1:J213,1),"")</f>
        <v/>
      </c>
      <c r="L213" s="30" t="str">
        <f>IFERROR(INDEX($I$1:$I$500,MATCH(ROWS($K$1:K213),$K$1:$K$500,0)),"")</f>
        <v/>
      </c>
    </row>
    <row r="214" spans="10:12" x14ac:dyDescent="0.25">
      <c r="J214" s="30">
        <f>--ISNUMBER(IFERROR(SEARCH(Quote!$G$1,I214,1),""))</f>
        <v>0</v>
      </c>
      <c r="K214" s="30" t="str">
        <f>IF(J214=1,COUNTIF($J$1:J214,1),"")</f>
        <v/>
      </c>
      <c r="L214" s="30" t="str">
        <f>IFERROR(INDEX($I$1:$I$500,MATCH(ROWS($K$1:K214),$K$1:$K$500,0)),"")</f>
        <v/>
      </c>
    </row>
    <row r="215" spans="10:12" x14ac:dyDescent="0.25">
      <c r="J215" s="30">
        <f>--ISNUMBER(IFERROR(SEARCH(Quote!$G$1,I215,1),""))</f>
        <v>0</v>
      </c>
      <c r="K215" s="30" t="str">
        <f>IF(J215=1,COUNTIF($J$1:J215,1),"")</f>
        <v/>
      </c>
      <c r="L215" s="30" t="str">
        <f>IFERROR(INDEX($I$1:$I$500,MATCH(ROWS($K$1:K215),$K$1:$K$500,0)),"")</f>
        <v/>
      </c>
    </row>
    <row r="216" spans="10:12" x14ac:dyDescent="0.25">
      <c r="J216" s="30">
        <f>--ISNUMBER(IFERROR(SEARCH(Quote!$G$1,I216,1),""))</f>
        <v>0</v>
      </c>
      <c r="K216" s="30" t="str">
        <f>IF(J216=1,COUNTIF($J$1:J216,1),"")</f>
        <v/>
      </c>
      <c r="L216" s="30" t="str">
        <f>IFERROR(INDEX($I$1:$I$500,MATCH(ROWS($K$1:K216),$K$1:$K$500,0)),"")</f>
        <v/>
      </c>
    </row>
    <row r="217" spans="10:12" x14ac:dyDescent="0.25">
      <c r="J217" s="30">
        <f>--ISNUMBER(IFERROR(SEARCH(Quote!$G$1,I217,1),""))</f>
        <v>0</v>
      </c>
      <c r="K217" s="30" t="str">
        <f>IF(J217=1,COUNTIF($J$1:J217,1),"")</f>
        <v/>
      </c>
      <c r="L217" s="30" t="str">
        <f>IFERROR(INDEX($I$1:$I$500,MATCH(ROWS($K$1:K217),$K$1:$K$500,0)),"")</f>
        <v/>
      </c>
    </row>
    <row r="218" spans="10:12" x14ac:dyDescent="0.25">
      <c r="J218" s="30">
        <f>--ISNUMBER(IFERROR(SEARCH(Quote!$G$1,I218,1),""))</f>
        <v>0</v>
      </c>
      <c r="K218" s="30" t="str">
        <f>IF(J218=1,COUNTIF($J$1:J218,1),"")</f>
        <v/>
      </c>
      <c r="L218" s="30" t="str">
        <f>IFERROR(INDEX($I$1:$I$500,MATCH(ROWS($K$1:K218),$K$1:$K$500,0)),"")</f>
        <v/>
      </c>
    </row>
    <row r="219" spans="10:12" x14ac:dyDescent="0.25">
      <c r="J219" s="30">
        <f>--ISNUMBER(IFERROR(SEARCH(Quote!$G$1,I219,1),""))</f>
        <v>0</v>
      </c>
      <c r="K219" s="30" t="str">
        <f>IF(J219=1,COUNTIF($J$1:J219,1),"")</f>
        <v/>
      </c>
      <c r="L219" s="30" t="str">
        <f>IFERROR(INDEX($I$1:$I$500,MATCH(ROWS($K$1:K219),$K$1:$K$500,0)),"")</f>
        <v/>
      </c>
    </row>
    <row r="220" spans="10:12" x14ac:dyDescent="0.25">
      <c r="J220" s="30">
        <f>--ISNUMBER(IFERROR(SEARCH(Quote!$G$1,I220,1),""))</f>
        <v>0</v>
      </c>
      <c r="K220" s="30" t="str">
        <f>IF(J220=1,COUNTIF($J$1:J220,1),"")</f>
        <v/>
      </c>
      <c r="L220" s="30" t="str">
        <f>IFERROR(INDEX($I$1:$I$500,MATCH(ROWS($K$1:K220),$K$1:$K$500,0)),"")</f>
        <v/>
      </c>
    </row>
    <row r="221" spans="10:12" x14ac:dyDescent="0.25">
      <c r="J221" s="30">
        <f>--ISNUMBER(IFERROR(SEARCH(Quote!$G$1,I221,1),""))</f>
        <v>0</v>
      </c>
      <c r="K221" s="30" t="str">
        <f>IF(J221=1,COUNTIF($J$1:J221,1),"")</f>
        <v/>
      </c>
      <c r="L221" s="30" t="str">
        <f>IFERROR(INDEX($I$1:$I$500,MATCH(ROWS($K$1:K221),$K$1:$K$500,0)),"")</f>
        <v/>
      </c>
    </row>
    <row r="222" spans="10:12" x14ac:dyDescent="0.25">
      <c r="J222" s="30">
        <f>--ISNUMBER(IFERROR(SEARCH(Quote!$G$1,I222,1),""))</f>
        <v>0</v>
      </c>
      <c r="K222" s="30" t="str">
        <f>IF(J222=1,COUNTIF($J$1:J222,1),"")</f>
        <v/>
      </c>
      <c r="L222" s="30" t="str">
        <f>IFERROR(INDEX($I$1:$I$500,MATCH(ROWS($K$1:K222),$K$1:$K$500,0)),"")</f>
        <v/>
      </c>
    </row>
    <row r="223" spans="10:12" x14ac:dyDescent="0.25">
      <c r="J223" s="30">
        <f>--ISNUMBER(IFERROR(SEARCH(Quote!$G$1,I223,1),""))</f>
        <v>0</v>
      </c>
      <c r="K223" s="30" t="str">
        <f>IF(J223=1,COUNTIF($J$1:J223,1),"")</f>
        <v/>
      </c>
      <c r="L223" s="30" t="str">
        <f>IFERROR(INDEX($I$1:$I$500,MATCH(ROWS($K$1:K223),$K$1:$K$500,0)),"")</f>
        <v/>
      </c>
    </row>
    <row r="224" spans="10:12" x14ac:dyDescent="0.25">
      <c r="J224" s="30">
        <f>--ISNUMBER(IFERROR(SEARCH(Quote!$G$1,I224,1),""))</f>
        <v>0</v>
      </c>
      <c r="K224" s="30" t="str">
        <f>IF(J224=1,COUNTIF($J$1:J224,1),"")</f>
        <v/>
      </c>
      <c r="L224" s="30" t="str">
        <f>IFERROR(INDEX($I$1:$I$500,MATCH(ROWS($K$1:K224),$K$1:$K$500,0)),"")</f>
        <v/>
      </c>
    </row>
    <row r="225" spans="10:12" x14ac:dyDescent="0.25">
      <c r="J225" s="30">
        <f>--ISNUMBER(IFERROR(SEARCH(Quote!$G$1,I225,1),""))</f>
        <v>0</v>
      </c>
      <c r="K225" s="30" t="str">
        <f>IF(J225=1,COUNTIF($J$1:J225,1),"")</f>
        <v/>
      </c>
      <c r="L225" s="30" t="str">
        <f>IFERROR(INDEX($I$1:$I$500,MATCH(ROWS($K$1:K225),$K$1:$K$500,0)),"")</f>
        <v/>
      </c>
    </row>
    <row r="226" spans="10:12" x14ac:dyDescent="0.25">
      <c r="J226" s="30">
        <f>--ISNUMBER(IFERROR(SEARCH(Quote!$G$1,I226,1),""))</f>
        <v>0</v>
      </c>
      <c r="K226" s="30" t="str">
        <f>IF(J226=1,COUNTIF($J$1:J226,1),"")</f>
        <v/>
      </c>
      <c r="L226" s="30" t="str">
        <f>IFERROR(INDEX($I$1:$I$500,MATCH(ROWS($K$1:K226),$K$1:$K$500,0)),"")</f>
        <v/>
      </c>
    </row>
    <row r="227" spans="10:12" x14ac:dyDescent="0.25">
      <c r="J227" s="30">
        <f>--ISNUMBER(IFERROR(SEARCH(Quote!$G$1,I227,1),""))</f>
        <v>0</v>
      </c>
      <c r="K227" s="30" t="str">
        <f>IF(J227=1,COUNTIF($J$1:J227,1),"")</f>
        <v/>
      </c>
      <c r="L227" s="30" t="str">
        <f>IFERROR(INDEX($I$1:$I$500,MATCH(ROWS($K$1:K227),$K$1:$K$500,0)),"")</f>
        <v/>
      </c>
    </row>
    <row r="228" spans="10:12" x14ac:dyDescent="0.25">
      <c r="J228" s="30">
        <f>--ISNUMBER(IFERROR(SEARCH(Quote!$G$1,I228,1),""))</f>
        <v>0</v>
      </c>
      <c r="K228" s="30" t="str">
        <f>IF(J228=1,COUNTIF($J$1:J228,1),"")</f>
        <v/>
      </c>
      <c r="L228" s="30" t="str">
        <f>IFERROR(INDEX($I$1:$I$500,MATCH(ROWS($K$1:K228),$K$1:$K$500,0)),"")</f>
        <v/>
      </c>
    </row>
    <row r="229" spans="10:12" x14ac:dyDescent="0.25">
      <c r="J229" s="30">
        <f>--ISNUMBER(IFERROR(SEARCH(Quote!$G$1,I229,1),""))</f>
        <v>0</v>
      </c>
      <c r="K229" s="30" t="str">
        <f>IF(J229=1,COUNTIF($J$1:J229,1),"")</f>
        <v/>
      </c>
      <c r="L229" s="30" t="str">
        <f>IFERROR(INDEX($I$1:$I$500,MATCH(ROWS($K$1:K229),$K$1:$K$500,0)),"")</f>
        <v/>
      </c>
    </row>
    <row r="230" spans="10:12" x14ac:dyDescent="0.25">
      <c r="J230" s="30">
        <f>--ISNUMBER(IFERROR(SEARCH(Quote!$G$1,I230,1),""))</f>
        <v>0</v>
      </c>
      <c r="K230" s="30" t="str">
        <f>IF(J230=1,COUNTIF($J$1:J230,1),"")</f>
        <v/>
      </c>
      <c r="L230" s="30" t="str">
        <f>IFERROR(INDEX($I$1:$I$500,MATCH(ROWS($K$1:K230),$K$1:$K$500,0)),"")</f>
        <v/>
      </c>
    </row>
    <row r="231" spans="10:12" x14ac:dyDescent="0.25">
      <c r="J231" s="30">
        <f>--ISNUMBER(IFERROR(SEARCH(Quote!$G$1,I231,1),""))</f>
        <v>0</v>
      </c>
      <c r="K231" s="30" t="str">
        <f>IF(J231=1,COUNTIF($J$1:J231,1),"")</f>
        <v/>
      </c>
      <c r="L231" s="30" t="str">
        <f>IFERROR(INDEX($I$1:$I$500,MATCH(ROWS($K$1:K231),$K$1:$K$500,0)),"")</f>
        <v/>
      </c>
    </row>
    <row r="232" spans="10:12" x14ac:dyDescent="0.25">
      <c r="J232" s="30">
        <f>--ISNUMBER(IFERROR(SEARCH(Quote!$G$1,I232,1),""))</f>
        <v>0</v>
      </c>
      <c r="K232" s="30" t="str">
        <f>IF(J232=1,COUNTIF($J$1:J232,1),"")</f>
        <v/>
      </c>
      <c r="L232" s="30" t="str">
        <f>IFERROR(INDEX($I$1:$I$500,MATCH(ROWS($K$1:K232),$K$1:$K$500,0)),"")</f>
        <v/>
      </c>
    </row>
    <row r="233" spans="10:12" x14ac:dyDescent="0.25">
      <c r="J233" s="30">
        <f>--ISNUMBER(IFERROR(SEARCH(Quote!$G$1,I233,1),""))</f>
        <v>0</v>
      </c>
      <c r="K233" s="30" t="str">
        <f>IF(J233=1,COUNTIF($J$1:J233,1),"")</f>
        <v/>
      </c>
      <c r="L233" s="30" t="str">
        <f>IFERROR(INDEX($I$1:$I$500,MATCH(ROWS($K$1:K233),$K$1:$K$500,0)),"")</f>
        <v/>
      </c>
    </row>
    <row r="234" spans="10:12" x14ac:dyDescent="0.25">
      <c r="J234" s="30">
        <f>--ISNUMBER(IFERROR(SEARCH(Quote!$G$1,I234,1),""))</f>
        <v>0</v>
      </c>
      <c r="K234" s="30" t="str">
        <f>IF(J234=1,COUNTIF($J$1:J234,1),"")</f>
        <v/>
      </c>
      <c r="L234" s="30" t="str">
        <f>IFERROR(INDEX($I$1:$I$500,MATCH(ROWS($K$1:K234),$K$1:$K$500,0)),"")</f>
        <v/>
      </c>
    </row>
    <row r="235" spans="10:12" x14ac:dyDescent="0.25">
      <c r="J235" s="30">
        <f>--ISNUMBER(IFERROR(SEARCH(Quote!$G$1,I235,1),""))</f>
        <v>0</v>
      </c>
      <c r="K235" s="30" t="str">
        <f>IF(J235=1,COUNTIF($J$1:J235,1),"")</f>
        <v/>
      </c>
      <c r="L235" s="30" t="str">
        <f>IFERROR(INDEX($I$1:$I$500,MATCH(ROWS($K$1:K235),$K$1:$K$500,0)),"")</f>
        <v/>
      </c>
    </row>
    <row r="236" spans="10:12" x14ac:dyDescent="0.25">
      <c r="J236" s="30">
        <f>--ISNUMBER(IFERROR(SEARCH(Quote!$G$1,I236,1),""))</f>
        <v>0</v>
      </c>
      <c r="K236" s="30" t="str">
        <f>IF(J236=1,COUNTIF($J$1:J236,1),"")</f>
        <v/>
      </c>
      <c r="L236" s="30" t="str">
        <f>IFERROR(INDEX($I$1:$I$500,MATCH(ROWS($K$1:K236),$K$1:$K$500,0)),"")</f>
        <v/>
      </c>
    </row>
    <row r="237" spans="10:12" x14ac:dyDescent="0.25">
      <c r="J237" s="30">
        <f>--ISNUMBER(IFERROR(SEARCH(Quote!$G$1,I237,1),""))</f>
        <v>0</v>
      </c>
      <c r="K237" s="30" t="str">
        <f>IF(J237=1,COUNTIF($J$1:J237,1),"")</f>
        <v/>
      </c>
      <c r="L237" s="30" t="str">
        <f>IFERROR(INDEX($I$1:$I$500,MATCH(ROWS($K$1:K237),$K$1:$K$500,0)),"")</f>
        <v/>
      </c>
    </row>
    <row r="238" spans="10:12" x14ac:dyDescent="0.25">
      <c r="J238" s="30">
        <f>--ISNUMBER(IFERROR(SEARCH(Quote!$G$1,I238,1),""))</f>
        <v>0</v>
      </c>
      <c r="K238" s="30" t="str">
        <f>IF(J238=1,COUNTIF($J$1:J238,1),"")</f>
        <v/>
      </c>
      <c r="L238" s="30" t="str">
        <f>IFERROR(INDEX($I$1:$I$500,MATCH(ROWS($K$1:K238),$K$1:$K$500,0)),"")</f>
        <v/>
      </c>
    </row>
    <row r="239" spans="10:12" x14ac:dyDescent="0.25">
      <c r="J239" s="30">
        <f>--ISNUMBER(IFERROR(SEARCH(Quote!$G$1,I239,1),""))</f>
        <v>0</v>
      </c>
      <c r="K239" s="30" t="str">
        <f>IF(J239=1,COUNTIF($J$1:J239,1),"")</f>
        <v/>
      </c>
      <c r="L239" s="30" t="str">
        <f>IFERROR(INDEX($I$1:$I$500,MATCH(ROWS($K$1:K239),$K$1:$K$500,0)),"")</f>
        <v/>
      </c>
    </row>
    <row r="240" spans="10:12" x14ac:dyDescent="0.25">
      <c r="J240" s="30">
        <f>--ISNUMBER(IFERROR(SEARCH(Quote!$G$1,I240,1),""))</f>
        <v>0</v>
      </c>
      <c r="K240" s="30" t="str">
        <f>IF(J240=1,COUNTIF($J$1:J240,1),"")</f>
        <v/>
      </c>
      <c r="L240" s="30" t="str">
        <f>IFERROR(INDEX($I$1:$I$500,MATCH(ROWS($K$1:K240),$K$1:$K$500,0)),"")</f>
        <v/>
      </c>
    </row>
    <row r="241" spans="10:12" x14ac:dyDescent="0.25">
      <c r="J241" s="30">
        <f>--ISNUMBER(IFERROR(SEARCH(Quote!$G$1,I241,1),""))</f>
        <v>0</v>
      </c>
      <c r="K241" s="30" t="str">
        <f>IF(J241=1,COUNTIF($J$1:J241,1),"")</f>
        <v/>
      </c>
      <c r="L241" s="30" t="str">
        <f>IFERROR(INDEX($I$1:$I$500,MATCH(ROWS($K$1:K241),$K$1:$K$500,0)),"")</f>
        <v/>
      </c>
    </row>
    <row r="242" spans="10:12" x14ac:dyDescent="0.25">
      <c r="J242" s="30">
        <f>--ISNUMBER(IFERROR(SEARCH(Quote!$G$1,I242,1),""))</f>
        <v>0</v>
      </c>
      <c r="K242" s="30" t="str">
        <f>IF(J242=1,COUNTIF($J$1:J242,1),"")</f>
        <v/>
      </c>
      <c r="L242" s="30" t="str">
        <f>IFERROR(INDEX($I$1:$I$500,MATCH(ROWS($K$1:K242),$K$1:$K$500,0)),"")</f>
        <v/>
      </c>
    </row>
    <row r="243" spans="10:12" x14ac:dyDescent="0.25">
      <c r="J243" s="30">
        <f>--ISNUMBER(IFERROR(SEARCH(Quote!$G$1,I243,1),""))</f>
        <v>0</v>
      </c>
      <c r="K243" s="30" t="str">
        <f>IF(J243=1,COUNTIF($J$1:J243,1),"")</f>
        <v/>
      </c>
      <c r="L243" s="30" t="str">
        <f>IFERROR(INDEX($I$1:$I$500,MATCH(ROWS($K$1:K243),$K$1:$K$500,0)),"")</f>
        <v/>
      </c>
    </row>
    <row r="244" spans="10:12" x14ac:dyDescent="0.25">
      <c r="J244" s="30">
        <f>--ISNUMBER(IFERROR(SEARCH(Quote!$G$1,I244,1),""))</f>
        <v>0</v>
      </c>
      <c r="K244" s="30" t="str">
        <f>IF(J244=1,COUNTIF($J$1:J244,1),"")</f>
        <v/>
      </c>
      <c r="L244" s="30" t="str">
        <f>IFERROR(INDEX($I$1:$I$500,MATCH(ROWS($K$1:K244),$K$1:$K$500,0)),"")</f>
        <v/>
      </c>
    </row>
    <row r="245" spans="10:12" x14ac:dyDescent="0.25">
      <c r="J245" s="30">
        <f>--ISNUMBER(IFERROR(SEARCH(Quote!$G$1,I245,1),""))</f>
        <v>0</v>
      </c>
      <c r="K245" s="30" t="str">
        <f>IF(J245=1,COUNTIF($J$1:J245,1),"")</f>
        <v/>
      </c>
      <c r="L245" s="30" t="str">
        <f>IFERROR(INDEX($I$1:$I$500,MATCH(ROWS($K$1:K245),$K$1:$K$500,0)),"")</f>
        <v/>
      </c>
    </row>
    <row r="246" spans="10:12" x14ac:dyDescent="0.25">
      <c r="J246" s="30">
        <f>--ISNUMBER(IFERROR(SEARCH(Quote!$G$1,I246,1),""))</f>
        <v>0</v>
      </c>
      <c r="K246" s="30" t="str">
        <f>IF(J246=1,COUNTIF($J$1:J246,1),"")</f>
        <v/>
      </c>
      <c r="L246" s="30" t="str">
        <f>IFERROR(INDEX($I$1:$I$500,MATCH(ROWS($K$1:K246),$K$1:$K$500,0)),"")</f>
        <v/>
      </c>
    </row>
    <row r="247" spans="10:12" x14ac:dyDescent="0.25">
      <c r="J247" s="30">
        <f>--ISNUMBER(IFERROR(SEARCH(Quote!$G$1,I247,1),""))</f>
        <v>0</v>
      </c>
      <c r="K247" s="30" t="str">
        <f>IF(J247=1,COUNTIF($J$1:J247,1),"")</f>
        <v/>
      </c>
      <c r="L247" s="30" t="str">
        <f>IFERROR(INDEX($I$1:$I$500,MATCH(ROWS($K$1:K247),$K$1:$K$500,0)),"")</f>
        <v/>
      </c>
    </row>
    <row r="248" spans="10:12" x14ac:dyDescent="0.25">
      <c r="J248" s="30">
        <f>--ISNUMBER(IFERROR(SEARCH(Quote!$G$1,I248,1),""))</f>
        <v>0</v>
      </c>
      <c r="K248" s="30" t="str">
        <f>IF(J248=1,COUNTIF($J$1:J248,1),"")</f>
        <v/>
      </c>
      <c r="L248" s="30" t="str">
        <f>IFERROR(INDEX($I$1:$I$500,MATCH(ROWS($K$1:K248),$K$1:$K$500,0)),"")</f>
        <v/>
      </c>
    </row>
    <row r="249" spans="10:12" x14ac:dyDescent="0.25">
      <c r="J249" s="30">
        <f>--ISNUMBER(IFERROR(SEARCH(Quote!$G$1,I249,1),""))</f>
        <v>0</v>
      </c>
      <c r="K249" s="30" t="str">
        <f>IF(J249=1,COUNTIF($J$1:J249,1),"")</f>
        <v/>
      </c>
      <c r="L249" s="30" t="str">
        <f>IFERROR(INDEX($I$1:$I$500,MATCH(ROWS($K$1:K249),$K$1:$K$500,0)),"")</f>
        <v/>
      </c>
    </row>
    <row r="250" spans="10:12" x14ac:dyDescent="0.25">
      <c r="J250" s="30">
        <f>--ISNUMBER(IFERROR(SEARCH(Quote!$G$1,I250,1),""))</f>
        <v>0</v>
      </c>
      <c r="K250" s="30" t="str">
        <f>IF(J250=1,COUNTIF($J$1:J250,1),"")</f>
        <v/>
      </c>
      <c r="L250" s="30" t="str">
        <f>IFERROR(INDEX($I$1:$I$500,MATCH(ROWS($K$1:K250),$K$1:$K$500,0)),"")</f>
        <v/>
      </c>
    </row>
    <row r="251" spans="10:12" x14ac:dyDescent="0.25">
      <c r="J251" s="30">
        <f>--ISNUMBER(IFERROR(SEARCH(Quote!$G$1,I251,1),""))</f>
        <v>0</v>
      </c>
      <c r="K251" s="30" t="str">
        <f>IF(J251=1,COUNTIF($J$1:J251,1),"")</f>
        <v/>
      </c>
      <c r="L251" s="30" t="str">
        <f>IFERROR(INDEX($I$1:$I$500,MATCH(ROWS($K$1:K251),$K$1:$K$500,0)),"")</f>
        <v/>
      </c>
    </row>
    <row r="252" spans="10:12" x14ac:dyDescent="0.25">
      <c r="J252" s="30">
        <f>--ISNUMBER(IFERROR(SEARCH(Quote!$G$1,I252,1),""))</f>
        <v>0</v>
      </c>
      <c r="K252" s="30" t="str">
        <f>IF(J252=1,COUNTIF($J$1:J252,1),"")</f>
        <v/>
      </c>
      <c r="L252" s="30" t="str">
        <f>IFERROR(INDEX($I$1:$I$500,MATCH(ROWS($K$1:K252),$K$1:$K$500,0)),"")</f>
        <v/>
      </c>
    </row>
    <row r="253" spans="10:12" x14ac:dyDescent="0.25">
      <c r="J253" s="30">
        <f>--ISNUMBER(IFERROR(SEARCH(Quote!$G$1,I253,1),""))</f>
        <v>0</v>
      </c>
      <c r="K253" s="30" t="str">
        <f>IF(J253=1,COUNTIF($J$1:J253,1),"")</f>
        <v/>
      </c>
      <c r="L253" s="30" t="str">
        <f>IFERROR(INDEX($I$1:$I$500,MATCH(ROWS($K$1:K253),$K$1:$K$500,0)),"")</f>
        <v/>
      </c>
    </row>
    <row r="254" spans="10:12" x14ac:dyDescent="0.25">
      <c r="J254" s="30">
        <f>--ISNUMBER(IFERROR(SEARCH(Quote!$G$1,I254,1),""))</f>
        <v>0</v>
      </c>
      <c r="K254" s="30" t="str">
        <f>IF(J254=1,COUNTIF($J$1:J254,1),"")</f>
        <v/>
      </c>
      <c r="L254" s="30" t="str">
        <f>IFERROR(INDEX($I$1:$I$500,MATCH(ROWS($K$1:K254),$K$1:$K$500,0)),"")</f>
        <v/>
      </c>
    </row>
    <row r="255" spans="10:12" x14ac:dyDescent="0.25">
      <c r="J255" s="30">
        <f>--ISNUMBER(IFERROR(SEARCH(Quote!$G$1,I255,1),""))</f>
        <v>0</v>
      </c>
      <c r="K255" s="30" t="str">
        <f>IF(J255=1,COUNTIF($J$1:J255,1),"")</f>
        <v/>
      </c>
      <c r="L255" s="30" t="str">
        <f>IFERROR(INDEX($I$1:$I$500,MATCH(ROWS($K$1:K255),$K$1:$K$500,0)),"")</f>
        <v/>
      </c>
    </row>
    <row r="256" spans="10:12" x14ac:dyDescent="0.25">
      <c r="J256" s="30">
        <f>--ISNUMBER(IFERROR(SEARCH(Quote!$G$1,I256,1),""))</f>
        <v>0</v>
      </c>
      <c r="K256" s="30" t="str">
        <f>IF(J256=1,COUNTIF($J$1:J256,1),"")</f>
        <v/>
      </c>
      <c r="L256" s="30" t="str">
        <f>IFERROR(INDEX($I$1:$I$500,MATCH(ROWS($K$1:K256),$K$1:$K$500,0)),"")</f>
        <v/>
      </c>
    </row>
    <row r="257" spans="10:12" x14ac:dyDescent="0.25">
      <c r="J257" s="30">
        <f>--ISNUMBER(IFERROR(SEARCH(Quote!$G$1,I257,1),""))</f>
        <v>0</v>
      </c>
      <c r="K257" s="30" t="str">
        <f>IF(J257=1,COUNTIF($J$1:J257,1),"")</f>
        <v/>
      </c>
      <c r="L257" s="30" t="str">
        <f>IFERROR(INDEX($I$1:$I$500,MATCH(ROWS($K$1:K257),$K$1:$K$500,0)),"")</f>
        <v/>
      </c>
    </row>
    <row r="258" spans="10:12" x14ac:dyDescent="0.25">
      <c r="J258" s="30">
        <f>--ISNUMBER(IFERROR(SEARCH(Quote!$G$1,I258,1),""))</f>
        <v>0</v>
      </c>
      <c r="K258" s="30" t="str">
        <f>IF(J258=1,COUNTIF($J$1:J258,1),"")</f>
        <v/>
      </c>
      <c r="L258" s="30" t="str">
        <f>IFERROR(INDEX($I$1:$I$500,MATCH(ROWS($K$1:K258),$K$1:$K$500,0)),"")</f>
        <v/>
      </c>
    </row>
    <row r="259" spans="10:12" x14ac:dyDescent="0.25">
      <c r="J259" s="30">
        <f>--ISNUMBER(IFERROR(SEARCH(Quote!$G$1,I259,1),""))</f>
        <v>0</v>
      </c>
      <c r="K259" s="30" t="str">
        <f>IF(J259=1,COUNTIF($J$1:J259,1),"")</f>
        <v/>
      </c>
      <c r="L259" s="30" t="str">
        <f>IFERROR(INDEX($I$1:$I$500,MATCH(ROWS($K$1:K259),$K$1:$K$500,0)),"")</f>
        <v/>
      </c>
    </row>
    <row r="260" spans="10:12" x14ac:dyDescent="0.25">
      <c r="J260" s="30">
        <f>--ISNUMBER(IFERROR(SEARCH(Quote!$G$1,I260,1),""))</f>
        <v>0</v>
      </c>
      <c r="K260" s="30" t="str">
        <f>IF(J260=1,COUNTIF($J$1:J260,1),"")</f>
        <v/>
      </c>
      <c r="L260" s="30" t="str">
        <f>IFERROR(INDEX($I$1:$I$500,MATCH(ROWS($K$1:K260),$K$1:$K$500,0)),"")</f>
        <v/>
      </c>
    </row>
    <row r="261" spans="10:12" x14ac:dyDescent="0.25">
      <c r="J261" s="30">
        <f>--ISNUMBER(IFERROR(SEARCH(Quote!$G$1,I261,1),""))</f>
        <v>0</v>
      </c>
      <c r="K261" s="30" t="str">
        <f>IF(J261=1,COUNTIF($J$1:J261,1),"")</f>
        <v/>
      </c>
      <c r="L261" s="30" t="str">
        <f>IFERROR(INDEX($I$1:$I$500,MATCH(ROWS($K$1:K261),$K$1:$K$500,0)),"")</f>
        <v/>
      </c>
    </row>
    <row r="262" spans="10:12" x14ac:dyDescent="0.25">
      <c r="J262" s="30">
        <f>--ISNUMBER(IFERROR(SEARCH(Quote!$G$1,I262,1),""))</f>
        <v>0</v>
      </c>
      <c r="K262" s="30" t="str">
        <f>IF(J262=1,COUNTIF($J$1:J262,1),"")</f>
        <v/>
      </c>
      <c r="L262" s="30" t="str">
        <f>IFERROR(INDEX($I$1:$I$500,MATCH(ROWS($K$1:K262),$K$1:$K$500,0)),"")</f>
        <v/>
      </c>
    </row>
    <row r="263" spans="10:12" x14ac:dyDescent="0.25">
      <c r="J263" s="30">
        <f>--ISNUMBER(IFERROR(SEARCH(Quote!$G$1,I263,1),""))</f>
        <v>0</v>
      </c>
      <c r="K263" s="30" t="str">
        <f>IF(J263=1,COUNTIF($J$1:J263,1),"")</f>
        <v/>
      </c>
      <c r="L263" s="30" t="str">
        <f>IFERROR(INDEX($I$1:$I$500,MATCH(ROWS($K$1:K263),$K$1:$K$500,0)),"")</f>
        <v/>
      </c>
    </row>
    <row r="264" spans="10:12" x14ac:dyDescent="0.25">
      <c r="J264" s="30">
        <f>--ISNUMBER(IFERROR(SEARCH(Quote!$G$1,I264,1),""))</f>
        <v>0</v>
      </c>
      <c r="K264" s="30" t="str">
        <f>IF(J264=1,COUNTIF($J$1:J264,1),"")</f>
        <v/>
      </c>
      <c r="L264" s="30" t="str">
        <f>IFERROR(INDEX($I$1:$I$500,MATCH(ROWS($K$1:K264),$K$1:$K$500,0)),"")</f>
        <v/>
      </c>
    </row>
    <row r="265" spans="10:12" x14ac:dyDescent="0.25">
      <c r="J265" s="30">
        <f>--ISNUMBER(IFERROR(SEARCH(Quote!$G$1,I265,1),""))</f>
        <v>0</v>
      </c>
      <c r="K265" s="30" t="str">
        <f>IF(J265=1,COUNTIF($J$1:J265,1),"")</f>
        <v/>
      </c>
      <c r="L265" s="30" t="str">
        <f>IFERROR(INDEX($I$1:$I$500,MATCH(ROWS($K$1:K265),$K$1:$K$500,0)),"")</f>
        <v/>
      </c>
    </row>
    <row r="266" spans="10:12" x14ac:dyDescent="0.25">
      <c r="J266" s="30">
        <f>--ISNUMBER(IFERROR(SEARCH(Quote!$G$1,I266,1),""))</f>
        <v>0</v>
      </c>
      <c r="K266" s="30" t="str">
        <f>IF(J266=1,COUNTIF($J$1:J266,1),"")</f>
        <v/>
      </c>
      <c r="L266" s="30" t="str">
        <f>IFERROR(INDEX($I$1:$I$500,MATCH(ROWS($K$1:K266),$K$1:$K$500,0)),"")</f>
        <v/>
      </c>
    </row>
    <row r="267" spans="10:12" x14ac:dyDescent="0.25">
      <c r="J267" s="30">
        <f>--ISNUMBER(IFERROR(SEARCH(Quote!$G$1,I267,1),""))</f>
        <v>0</v>
      </c>
      <c r="K267" s="30" t="str">
        <f>IF(J267=1,COUNTIF($J$1:J267,1),"")</f>
        <v/>
      </c>
      <c r="L267" s="30" t="str">
        <f>IFERROR(INDEX($I$1:$I$500,MATCH(ROWS($K$1:K267),$K$1:$K$500,0)),"")</f>
        <v/>
      </c>
    </row>
    <row r="268" spans="10:12" x14ac:dyDescent="0.25">
      <c r="J268" s="30">
        <f>--ISNUMBER(IFERROR(SEARCH(Quote!$G$1,I268,1),""))</f>
        <v>0</v>
      </c>
      <c r="K268" s="30" t="str">
        <f>IF(J268=1,COUNTIF($J$1:J268,1),"")</f>
        <v/>
      </c>
      <c r="L268" s="30" t="str">
        <f>IFERROR(INDEX($I$1:$I$500,MATCH(ROWS($K$1:K268),$K$1:$K$500,0)),"")</f>
        <v/>
      </c>
    </row>
    <row r="269" spans="10:12" x14ac:dyDescent="0.25">
      <c r="J269" s="30">
        <f>--ISNUMBER(IFERROR(SEARCH(Quote!$G$1,I269,1),""))</f>
        <v>0</v>
      </c>
      <c r="K269" s="30" t="str">
        <f>IF(J269=1,COUNTIF($J$1:J269,1),"")</f>
        <v/>
      </c>
      <c r="L269" s="30" t="str">
        <f>IFERROR(INDEX($I$1:$I$500,MATCH(ROWS($K$1:K269),$K$1:$K$500,0)),"")</f>
        <v/>
      </c>
    </row>
    <row r="270" spans="10:12" x14ac:dyDescent="0.25">
      <c r="J270" s="30">
        <f>--ISNUMBER(IFERROR(SEARCH(Quote!$G$1,I270,1),""))</f>
        <v>0</v>
      </c>
      <c r="K270" s="30" t="str">
        <f>IF(J270=1,COUNTIF($J$1:J270,1),"")</f>
        <v/>
      </c>
      <c r="L270" s="30" t="str">
        <f>IFERROR(INDEX($I$1:$I$500,MATCH(ROWS($K$1:K270),$K$1:$K$500,0)),"")</f>
        <v/>
      </c>
    </row>
    <row r="271" spans="10:12" x14ac:dyDescent="0.25">
      <c r="J271" s="30">
        <f>--ISNUMBER(IFERROR(SEARCH(Quote!$G$1,I271,1),""))</f>
        <v>0</v>
      </c>
      <c r="K271" s="30" t="str">
        <f>IF(J271=1,COUNTIF($J$1:J271,1),"")</f>
        <v/>
      </c>
      <c r="L271" s="30" t="str">
        <f>IFERROR(INDEX($I$1:$I$500,MATCH(ROWS($K$1:K271),$K$1:$K$500,0)),"")</f>
        <v/>
      </c>
    </row>
    <row r="272" spans="10:12" x14ac:dyDescent="0.25">
      <c r="J272" s="30">
        <f>--ISNUMBER(IFERROR(SEARCH(Quote!$G$1,I272,1),""))</f>
        <v>0</v>
      </c>
      <c r="K272" s="30" t="str">
        <f>IF(J272=1,COUNTIF($J$1:J272,1),"")</f>
        <v/>
      </c>
      <c r="L272" s="30" t="str">
        <f>IFERROR(INDEX($I$1:$I$500,MATCH(ROWS($K$1:K272),$K$1:$K$500,0)),"")</f>
        <v/>
      </c>
    </row>
    <row r="273" spans="10:12" x14ac:dyDescent="0.25">
      <c r="J273" s="30">
        <f>--ISNUMBER(IFERROR(SEARCH(Quote!$G$1,I273,1),""))</f>
        <v>0</v>
      </c>
      <c r="K273" s="30" t="str">
        <f>IF(J273=1,COUNTIF($J$1:J273,1),"")</f>
        <v/>
      </c>
      <c r="L273" s="30" t="str">
        <f>IFERROR(INDEX($I$1:$I$500,MATCH(ROWS($K$1:K273),$K$1:$K$500,0)),"")</f>
        <v/>
      </c>
    </row>
    <row r="274" spans="10:12" x14ac:dyDescent="0.25">
      <c r="J274" s="30">
        <f>--ISNUMBER(IFERROR(SEARCH(Quote!$G$1,I274,1),""))</f>
        <v>0</v>
      </c>
      <c r="K274" s="30" t="str">
        <f>IF(J274=1,COUNTIF($J$1:J274,1),"")</f>
        <v/>
      </c>
      <c r="L274" s="30" t="str">
        <f>IFERROR(INDEX($I$1:$I$500,MATCH(ROWS($K$1:K274),$K$1:$K$500,0)),"")</f>
        <v/>
      </c>
    </row>
    <row r="275" spans="10:12" x14ac:dyDescent="0.25">
      <c r="J275" s="30">
        <f>--ISNUMBER(IFERROR(SEARCH(Quote!$G$1,I275,1),""))</f>
        <v>0</v>
      </c>
      <c r="K275" s="30" t="str">
        <f>IF(J275=1,COUNTIF($J$1:J275,1),"")</f>
        <v/>
      </c>
      <c r="L275" s="30" t="str">
        <f>IFERROR(INDEX($I$1:$I$500,MATCH(ROWS($K$1:K275),$K$1:$K$500,0)),"")</f>
        <v/>
      </c>
    </row>
    <row r="276" spans="10:12" x14ac:dyDescent="0.25">
      <c r="J276" s="30">
        <f>--ISNUMBER(IFERROR(SEARCH(Quote!$G$1,I276,1),""))</f>
        <v>0</v>
      </c>
      <c r="K276" s="30" t="str">
        <f>IF(J276=1,COUNTIF($J$1:J276,1),"")</f>
        <v/>
      </c>
      <c r="L276" s="30" t="str">
        <f>IFERROR(INDEX($I$1:$I$500,MATCH(ROWS($K$1:K276),$K$1:$K$500,0)),"")</f>
        <v/>
      </c>
    </row>
    <row r="277" spans="10:12" x14ac:dyDescent="0.25">
      <c r="J277" s="30">
        <f>--ISNUMBER(IFERROR(SEARCH(Quote!$G$1,I277,1),""))</f>
        <v>0</v>
      </c>
      <c r="K277" s="30" t="str">
        <f>IF(J277=1,COUNTIF($J$1:J277,1),"")</f>
        <v/>
      </c>
      <c r="L277" s="30" t="str">
        <f>IFERROR(INDEX($I$1:$I$500,MATCH(ROWS($K$1:K277),$K$1:$K$500,0)),"")</f>
        <v/>
      </c>
    </row>
    <row r="278" spans="10:12" x14ac:dyDescent="0.25">
      <c r="J278" s="30">
        <f>--ISNUMBER(IFERROR(SEARCH(Quote!$G$1,I278,1),""))</f>
        <v>0</v>
      </c>
      <c r="K278" s="30" t="str">
        <f>IF(J278=1,COUNTIF($J$1:J278,1),"")</f>
        <v/>
      </c>
      <c r="L278" s="30" t="str">
        <f>IFERROR(INDEX($I$1:$I$500,MATCH(ROWS($K$1:K278),$K$1:$K$500,0)),"")</f>
        <v/>
      </c>
    </row>
    <row r="279" spans="10:12" x14ac:dyDescent="0.25">
      <c r="J279" s="30">
        <f>--ISNUMBER(IFERROR(SEARCH(Quote!$G$1,I279,1),""))</f>
        <v>0</v>
      </c>
      <c r="K279" s="30" t="str">
        <f>IF(J279=1,COUNTIF($J$1:J279,1),"")</f>
        <v/>
      </c>
      <c r="L279" s="30" t="str">
        <f>IFERROR(INDEX($I$1:$I$500,MATCH(ROWS($K$1:K279),$K$1:$K$500,0)),"")</f>
        <v/>
      </c>
    </row>
    <row r="280" spans="10:12" x14ac:dyDescent="0.25">
      <c r="J280" s="30">
        <f>--ISNUMBER(IFERROR(SEARCH(Quote!$G$1,I280,1),""))</f>
        <v>0</v>
      </c>
      <c r="K280" s="30" t="str">
        <f>IF(J280=1,COUNTIF($J$1:J280,1),"")</f>
        <v/>
      </c>
      <c r="L280" s="30" t="str">
        <f>IFERROR(INDEX($I$1:$I$500,MATCH(ROWS($K$1:K280),$K$1:$K$500,0)),"")</f>
        <v/>
      </c>
    </row>
    <row r="281" spans="10:12" x14ac:dyDescent="0.25">
      <c r="J281" s="30">
        <f>--ISNUMBER(IFERROR(SEARCH(Quote!$G$1,I281,1),""))</f>
        <v>0</v>
      </c>
      <c r="K281" s="30" t="str">
        <f>IF(J281=1,COUNTIF($J$1:J281,1),"")</f>
        <v/>
      </c>
      <c r="L281" s="30" t="str">
        <f>IFERROR(INDEX($I$1:$I$500,MATCH(ROWS($K$1:K281),$K$1:$K$500,0)),"")</f>
        <v/>
      </c>
    </row>
    <row r="282" spans="10:12" x14ac:dyDescent="0.25">
      <c r="J282" s="30">
        <f>--ISNUMBER(IFERROR(SEARCH(Quote!$G$1,I282,1),""))</f>
        <v>0</v>
      </c>
      <c r="K282" s="30" t="str">
        <f>IF(J282=1,COUNTIF($J$1:J282,1),"")</f>
        <v/>
      </c>
      <c r="L282" s="30" t="str">
        <f>IFERROR(INDEX($I$1:$I$500,MATCH(ROWS($K$1:K282),$K$1:$K$500,0)),"")</f>
        <v/>
      </c>
    </row>
    <row r="283" spans="10:12" x14ac:dyDescent="0.25">
      <c r="J283" s="30">
        <f>--ISNUMBER(IFERROR(SEARCH(Quote!$G$1,I283,1),""))</f>
        <v>0</v>
      </c>
      <c r="K283" s="30" t="str">
        <f>IF(J283=1,COUNTIF($J$1:J283,1),"")</f>
        <v/>
      </c>
      <c r="L283" s="30" t="str">
        <f>IFERROR(INDEX($I$1:$I$500,MATCH(ROWS($K$1:K283),$K$1:$K$500,0)),"")</f>
        <v/>
      </c>
    </row>
    <row r="284" spans="10:12" x14ac:dyDescent="0.25">
      <c r="J284" s="30">
        <f>--ISNUMBER(IFERROR(SEARCH(Quote!$G$1,I284,1),""))</f>
        <v>0</v>
      </c>
      <c r="K284" s="30" t="str">
        <f>IF(J284=1,COUNTIF($J$1:J284,1),"")</f>
        <v/>
      </c>
      <c r="L284" s="30" t="str">
        <f>IFERROR(INDEX($I$1:$I$500,MATCH(ROWS($K$1:K284),$K$1:$K$500,0)),"")</f>
        <v/>
      </c>
    </row>
    <row r="285" spans="10:12" x14ac:dyDescent="0.25">
      <c r="J285" s="30">
        <f>--ISNUMBER(IFERROR(SEARCH(Quote!$G$1,I285,1),""))</f>
        <v>0</v>
      </c>
      <c r="K285" s="30" t="str">
        <f>IF(J285=1,COUNTIF($J$1:J285,1),"")</f>
        <v/>
      </c>
      <c r="L285" s="30" t="str">
        <f>IFERROR(INDEX($I$1:$I$500,MATCH(ROWS($K$1:K285),$K$1:$K$500,0)),"")</f>
        <v/>
      </c>
    </row>
    <row r="286" spans="10:12" x14ac:dyDescent="0.25">
      <c r="J286" s="30">
        <f>--ISNUMBER(IFERROR(SEARCH(Quote!$G$1,I286,1),""))</f>
        <v>0</v>
      </c>
      <c r="K286" s="30" t="str">
        <f>IF(J286=1,COUNTIF($J$1:J286,1),"")</f>
        <v/>
      </c>
      <c r="L286" s="30" t="str">
        <f>IFERROR(INDEX($I$1:$I$500,MATCH(ROWS($K$1:K286),$K$1:$K$500,0)),"")</f>
        <v/>
      </c>
    </row>
    <row r="287" spans="10:12" x14ac:dyDescent="0.25">
      <c r="J287" s="30">
        <f>--ISNUMBER(IFERROR(SEARCH(Quote!$G$1,I287,1),""))</f>
        <v>0</v>
      </c>
      <c r="K287" s="30" t="str">
        <f>IF(J287=1,COUNTIF($J$1:J287,1),"")</f>
        <v/>
      </c>
      <c r="L287" s="30" t="str">
        <f>IFERROR(INDEX($I$1:$I$500,MATCH(ROWS($K$1:K287),$K$1:$K$500,0)),"")</f>
        <v/>
      </c>
    </row>
    <row r="288" spans="10:12" x14ac:dyDescent="0.25">
      <c r="J288" s="30">
        <f>--ISNUMBER(IFERROR(SEARCH(Quote!$G$1,I288,1),""))</f>
        <v>0</v>
      </c>
      <c r="K288" s="30" t="str">
        <f>IF(J288=1,COUNTIF($J$1:J288,1),"")</f>
        <v/>
      </c>
      <c r="L288" s="30" t="str">
        <f>IFERROR(INDEX($I$1:$I$500,MATCH(ROWS($K$1:K288),$K$1:$K$500,0)),"")</f>
        <v/>
      </c>
    </row>
    <row r="289" spans="10:12" x14ac:dyDescent="0.25">
      <c r="J289" s="30">
        <f>--ISNUMBER(IFERROR(SEARCH(Quote!$G$1,I289,1),""))</f>
        <v>0</v>
      </c>
      <c r="K289" s="30" t="str">
        <f>IF(J289=1,COUNTIF($J$1:J289,1),"")</f>
        <v/>
      </c>
      <c r="L289" s="30" t="str">
        <f>IFERROR(INDEX($I$1:$I$500,MATCH(ROWS($K$1:K289),$K$1:$K$500,0)),"")</f>
        <v/>
      </c>
    </row>
    <row r="290" spans="10:12" x14ac:dyDescent="0.25">
      <c r="J290" s="30">
        <f>--ISNUMBER(IFERROR(SEARCH(Quote!$G$1,I290,1),""))</f>
        <v>0</v>
      </c>
      <c r="K290" s="30" t="str">
        <f>IF(J290=1,COUNTIF($J$1:J290,1),"")</f>
        <v/>
      </c>
      <c r="L290" s="30" t="str">
        <f>IFERROR(INDEX($I$1:$I$500,MATCH(ROWS($K$1:K290),$K$1:$K$500,0)),"")</f>
        <v/>
      </c>
    </row>
    <row r="291" spans="10:12" x14ac:dyDescent="0.25">
      <c r="J291" s="30">
        <f>--ISNUMBER(IFERROR(SEARCH(Quote!$G$1,I291,1),""))</f>
        <v>0</v>
      </c>
      <c r="K291" s="30" t="str">
        <f>IF(J291=1,COUNTIF($J$1:J291,1),"")</f>
        <v/>
      </c>
      <c r="L291" s="30" t="str">
        <f>IFERROR(INDEX($I$1:$I$500,MATCH(ROWS($K$1:K291),$K$1:$K$500,0)),"")</f>
        <v/>
      </c>
    </row>
    <row r="292" spans="10:12" x14ac:dyDescent="0.25">
      <c r="J292" s="30">
        <f>--ISNUMBER(IFERROR(SEARCH(Quote!$G$1,I292,1),""))</f>
        <v>0</v>
      </c>
      <c r="K292" s="30" t="str">
        <f>IF(J292=1,COUNTIF($J$1:J292,1),"")</f>
        <v/>
      </c>
      <c r="L292" s="30" t="str">
        <f>IFERROR(INDEX($I$1:$I$500,MATCH(ROWS($K$1:K292),$K$1:$K$500,0)),"")</f>
        <v/>
      </c>
    </row>
    <row r="293" spans="10:12" x14ac:dyDescent="0.25">
      <c r="J293" s="30">
        <f>--ISNUMBER(IFERROR(SEARCH(Quote!$G$1,I293,1),""))</f>
        <v>0</v>
      </c>
      <c r="K293" s="30" t="str">
        <f>IF(J293=1,COUNTIF($J$1:J293,1),"")</f>
        <v/>
      </c>
      <c r="L293" s="30" t="str">
        <f>IFERROR(INDEX($I$1:$I$500,MATCH(ROWS($K$1:K293),$K$1:$K$500,0)),"")</f>
        <v/>
      </c>
    </row>
    <row r="294" spans="10:12" x14ac:dyDescent="0.25">
      <c r="J294" s="30">
        <f>--ISNUMBER(IFERROR(SEARCH(Quote!$G$1,I294,1),""))</f>
        <v>0</v>
      </c>
      <c r="K294" s="30" t="str">
        <f>IF(J294=1,COUNTIF($J$1:J294,1),"")</f>
        <v/>
      </c>
      <c r="L294" s="30" t="str">
        <f>IFERROR(INDEX($I$1:$I$500,MATCH(ROWS($K$1:K294),$K$1:$K$500,0)),"")</f>
        <v/>
      </c>
    </row>
    <row r="295" spans="10:12" x14ac:dyDescent="0.25">
      <c r="J295" s="30">
        <f>--ISNUMBER(IFERROR(SEARCH(Quote!$G$1,I295,1),""))</f>
        <v>0</v>
      </c>
      <c r="K295" s="30" t="str">
        <f>IF(J295=1,COUNTIF($J$1:J295,1),"")</f>
        <v/>
      </c>
      <c r="L295" s="30" t="str">
        <f>IFERROR(INDEX($I$1:$I$500,MATCH(ROWS($K$1:K295),$K$1:$K$500,0)),"")</f>
        <v/>
      </c>
    </row>
    <row r="296" spans="10:12" x14ac:dyDescent="0.25">
      <c r="J296" s="30">
        <f>--ISNUMBER(IFERROR(SEARCH(Quote!$G$1,I296,1),""))</f>
        <v>0</v>
      </c>
      <c r="K296" s="30" t="str">
        <f>IF(J296=1,COUNTIF($J$1:J296,1),"")</f>
        <v/>
      </c>
      <c r="L296" s="30" t="str">
        <f>IFERROR(INDEX($I$1:$I$500,MATCH(ROWS($K$1:K296),$K$1:$K$500,0)),"")</f>
        <v/>
      </c>
    </row>
    <row r="297" spans="10:12" x14ac:dyDescent="0.25">
      <c r="J297" s="30">
        <f>--ISNUMBER(IFERROR(SEARCH(Quote!$G$1,I297,1),""))</f>
        <v>0</v>
      </c>
      <c r="K297" s="30" t="str">
        <f>IF(J297=1,COUNTIF($J$1:J297,1),"")</f>
        <v/>
      </c>
      <c r="L297" s="30" t="str">
        <f>IFERROR(INDEX($I$1:$I$500,MATCH(ROWS($K$1:K297),$K$1:$K$500,0)),"")</f>
        <v/>
      </c>
    </row>
    <row r="298" spans="10:12" x14ac:dyDescent="0.25">
      <c r="J298" s="30">
        <f>--ISNUMBER(IFERROR(SEARCH(Quote!$G$1,I298,1),""))</f>
        <v>0</v>
      </c>
      <c r="K298" s="30" t="str">
        <f>IF(J298=1,COUNTIF($J$1:J298,1),"")</f>
        <v/>
      </c>
      <c r="L298" s="30" t="str">
        <f>IFERROR(INDEX($I$1:$I$500,MATCH(ROWS($K$1:K298),$K$1:$K$500,0)),"")</f>
        <v/>
      </c>
    </row>
    <row r="299" spans="10:12" x14ac:dyDescent="0.25">
      <c r="J299" s="30">
        <f>--ISNUMBER(IFERROR(SEARCH(Quote!$G$1,I299,1),""))</f>
        <v>0</v>
      </c>
      <c r="K299" s="30" t="str">
        <f>IF(J299=1,COUNTIF($J$1:J299,1),"")</f>
        <v/>
      </c>
      <c r="L299" s="30" t="str">
        <f>IFERROR(INDEX($I$1:$I$500,MATCH(ROWS($K$1:K299),$K$1:$K$500,0)),"")</f>
        <v/>
      </c>
    </row>
    <row r="300" spans="10:12" x14ac:dyDescent="0.25">
      <c r="J300" s="30">
        <f>--ISNUMBER(IFERROR(SEARCH(Quote!$G$1,I300,1),""))</f>
        <v>0</v>
      </c>
      <c r="K300" s="30" t="str">
        <f>IF(J300=1,COUNTIF($J$1:J300,1),"")</f>
        <v/>
      </c>
      <c r="L300" s="30" t="str">
        <f>IFERROR(INDEX($I$1:$I$500,MATCH(ROWS($K$1:K300),$K$1:$K$500,0)),"")</f>
        <v/>
      </c>
    </row>
    <row r="301" spans="10:12" x14ac:dyDescent="0.25">
      <c r="J301" s="30">
        <f>--ISNUMBER(IFERROR(SEARCH(Quote!$G$1,I301,1),""))</f>
        <v>0</v>
      </c>
      <c r="K301" s="30" t="str">
        <f>IF(J301=1,COUNTIF($J$1:J301,1),"")</f>
        <v/>
      </c>
      <c r="L301" s="30" t="str">
        <f>IFERROR(INDEX($I$1:$I$500,MATCH(ROWS($K$1:K301),$K$1:$K$500,0)),"")</f>
        <v/>
      </c>
    </row>
    <row r="302" spans="10:12" x14ac:dyDescent="0.25">
      <c r="J302" s="30">
        <f>--ISNUMBER(IFERROR(SEARCH(Quote!$G$1,I302,1),""))</f>
        <v>0</v>
      </c>
      <c r="K302" s="30" t="str">
        <f>IF(J302=1,COUNTIF($J$1:J302,1),"")</f>
        <v/>
      </c>
      <c r="L302" s="30" t="str">
        <f>IFERROR(INDEX($I$1:$I$500,MATCH(ROWS($K$1:K302),$K$1:$K$500,0)),"")</f>
        <v/>
      </c>
    </row>
    <row r="303" spans="10:12" x14ac:dyDescent="0.25">
      <c r="J303" s="30">
        <f>--ISNUMBER(IFERROR(SEARCH(Quote!$G$1,I303,1),""))</f>
        <v>0</v>
      </c>
      <c r="K303" s="30" t="str">
        <f>IF(J303=1,COUNTIF($J$1:J303,1),"")</f>
        <v/>
      </c>
      <c r="L303" s="30" t="str">
        <f>IFERROR(INDEX($I$1:$I$500,MATCH(ROWS($K$1:K303),$K$1:$K$500,0)),"")</f>
        <v/>
      </c>
    </row>
    <row r="304" spans="10:12" x14ac:dyDescent="0.25">
      <c r="J304" s="30">
        <f>--ISNUMBER(IFERROR(SEARCH(Quote!$G$1,I304,1),""))</f>
        <v>0</v>
      </c>
      <c r="K304" s="30" t="str">
        <f>IF(J304=1,COUNTIF($J$1:J304,1),"")</f>
        <v/>
      </c>
      <c r="L304" s="30" t="str">
        <f>IFERROR(INDEX($I$1:$I$500,MATCH(ROWS($K$1:K304),$K$1:$K$500,0)),"")</f>
        <v/>
      </c>
    </row>
    <row r="305" spans="10:12" x14ac:dyDescent="0.25">
      <c r="J305" s="30">
        <f>--ISNUMBER(IFERROR(SEARCH(Quote!$G$1,I305,1),""))</f>
        <v>0</v>
      </c>
      <c r="K305" s="30" t="str">
        <f>IF(J305=1,COUNTIF($J$1:J305,1),"")</f>
        <v/>
      </c>
      <c r="L305" s="30" t="str">
        <f>IFERROR(INDEX($I$1:$I$500,MATCH(ROWS($K$1:K305),$K$1:$K$500,0)),"")</f>
        <v/>
      </c>
    </row>
    <row r="306" spans="10:12" x14ac:dyDescent="0.25">
      <c r="J306" s="30">
        <f>--ISNUMBER(IFERROR(SEARCH(Quote!$G$1,I306,1),""))</f>
        <v>0</v>
      </c>
      <c r="K306" s="30" t="str">
        <f>IF(J306=1,COUNTIF($J$1:J306,1),"")</f>
        <v/>
      </c>
      <c r="L306" s="30" t="str">
        <f>IFERROR(INDEX($I$1:$I$500,MATCH(ROWS($K$1:K306),$K$1:$K$500,0)),"")</f>
        <v/>
      </c>
    </row>
    <row r="307" spans="10:12" x14ac:dyDescent="0.25">
      <c r="J307" s="30">
        <f>--ISNUMBER(IFERROR(SEARCH(Quote!$G$1,I307,1),""))</f>
        <v>0</v>
      </c>
      <c r="K307" s="30" t="str">
        <f>IF(J307=1,COUNTIF($J$1:J307,1),"")</f>
        <v/>
      </c>
      <c r="L307" s="30" t="str">
        <f>IFERROR(INDEX($I$1:$I$500,MATCH(ROWS($K$1:K307),$K$1:$K$500,0)),"")</f>
        <v/>
      </c>
    </row>
    <row r="308" spans="10:12" x14ac:dyDescent="0.25">
      <c r="J308" s="30">
        <f>--ISNUMBER(IFERROR(SEARCH(Quote!$G$1,I308,1),""))</f>
        <v>0</v>
      </c>
      <c r="K308" s="30" t="str">
        <f>IF(J308=1,COUNTIF($J$1:J308,1),"")</f>
        <v/>
      </c>
      <c r="L308" s="30" t="str">
        <f>IFERROR(INDEX($I$1:$I$500,MATCH(ROWS($K$1:K308),$K$1:$K$500,0)),"")</f>
        <v/>
      </c>
    </row>
    <row r="309" spans="10:12" x14ac:dyDescent="0.25">
      <c r="J309" s="30">
        <f>--ISNUMBER(IFERROR(SEARCH(Quote!$G$1,I309,1),""))</f>
        <v>0</v>
      </c>
      <c r="K309" s="30" t="str">
        <f>IF(J309=1,COUNTIF($J$1:J309,1),"")</f>
        <v/>
      </c>
      <c r="L309" s="30" t="str">
        <f>IFERROR(INDEX($I$1:$I$500,MATCH(ROWS($K$1:K309),$K$1:$K$500,0)),"")</f>
        <v/>
      </c>
    </row>
    <row r="310" spans="10:12" x14ac:dyDescent="0.25">
      <c r="J310" s="30">
        <f>--ISNUMBER(IFERROR(SEARCH(Quote!$G$1,I310,1),""))</f>
        <v>0</v>
      </c>
      <c r="K310" s="30" t="str">
        <f>IF(J310=1,COUNTIF($J$1:J310,1),"")</f>
        <v/>
      </c>
      <c r="L310" s="30" t="str">
        <f>IFERROR(INDEX($I$1:$I$500,MATCH(ROWS($K$1:K310),$K$1:$K$500,0)),"")</f>
        <v/>
      </c>
    </row>
    <row r="311" spans="10:12" x14ac:dyDescent="0.25">
      <c r="J311" s="30">
        <f>--ISNUMBER(IFERROR(SEARCH(Quote!$G$1,I311,1),""))</f>
        <v>0</v>
      </c>
      <c r="K311" s="30" t="str">
        <f>IF(J311=1,COUNTIF($J$1:J311,1),"")</f>
        <v/>
      </c>
      <c r="L311" s="30" t="str">
        <f>IFERROR(INDEX($I$1:$I$500,MATCH(ROWS($K$1:K311),$K$1:$K$500,0)),"")</f>
        <v/>
      </c>
    </row>
    <row r="312" spans="10:12" x14ac:dyDescent="0.25">
      <c r="J312" s="30">
        <f>--ISNUMBER(IFERROR(SEARCH(Quote!$G$1,I312,1),""))</f>
        <v>0</v>
      </c>
      <c r="K312" s="30" t="str">
        <f>IF(J312=1,COUNTIF($J$1:J312,1),"")</f>
        <v/>
      </c>
      <c r="L312" s="30" t="str">
        <f>IFERROR(INDEX($I$1:$I$500,MATCH(ROWS($K$1:K312),$K$1:$K$500,0)),"")</f>
        <v/>
      </c>
    </row>
    <row r="313" spans="10:12" x14ac:dyDescent="0.25">
      <c r="J313" s="30">
        <f>--ISNUMBER(IFERROR(SEARCH(Quote!$G$1,I313,1),""))</f>
        <v>0</v>
      </c>
      <c r="K313" s="30" t="str">
        <f>IF(J313=1,COUNTIF($J$1:J313,1),"")</f>
        <v/>
      </c>
      <c r="L313" s="30" t="str">
        <f>IFERROR(INDEX($I$1:$I$500,MATCH(ROWS($K$1:K313),$K$1:$K$500,0)),"")</f>
        <v/>
      </c>
    </row>
    <row r="314" spans="10:12" x14ac:dyDescent="0.25">
      <c r="J314" s="30">
        <f>--ISNUMBER(IFERROR(SEARCH(Quote!$G$1,I314,1),""))</f>
        <v>0</v>
      </c>
      <c r="K314" s="30" t="str">
        <f>IF(J314=1,COUNTIF($J$1:J314,1),"")</f>
        <v/>
      </c>
      <c r="L314" s="30" t="str">
        <f>IFERROR(INDEX($I$1:$I$500,MATCH(ROWS($K$1:K314),$K$1:$K$500,0)),"")</f>
        <v/>
      </c>
    </row>
    <row r="315" spans="10:12" x14ac:dyDescent="0.25">
      <c r="J315" s="30">
        <f>--ISNUMBER(IFERROR(SEARCH(Quote!$G$1,I315,1),""))</f>
        <v>0</v>
      </c>
      <c r="K315" s="30" t="str">
        <f>IF(J315=1,COUNTIF($J$1:J315,1),"")</f>
        <v/>
      </c>
      <c r="L315" s="30" t="str">
        <f>IFERROR(INDEX($I$1:$I$500,MATCH(ROWS($K$1:K315),$K$1:$K$500,0)),"")</f>
        <v/>
      </c>
    </row>
    <row r="316" spans="10:12" x14ac:dyDescent="0.25">
      <c r="J316" s="30">
        <f>--ISNUMBER(IFERROR(SEARCH(Quote!$G$1,I316,1),""))</f>
        <v>0</v>
      </c>
      <c r="K316" s="30" t="str">
        <f>IF(J316=1,COUNTIF($J$1:J316,1),"")</f>
        <v/>
      </c>
      <c r="L316" s="30" t="str">
        <f>IFERROR(INDEX($I$1:$I$500,MATCH(ROWS($K$1:K316),$K$1:$K$500,0)),"")</f>
        <v/>
      </c>
    </row>
    <row r="317" spans="10:12" x14ac:dyDescent="0.25">
      <c r="J317" s="30">
        <f>--ISNUMBER(IFERROR(SEARCH(Quote!$G$1,I317,1),""))</f>
        <v>0</v>
      </c>
      <c r="K317" s="30" t="str">
        <f>IF(J317=1,COUNTIF($J$1:J317,1),"")</f>
        <v/>
      </c>
      <c r="L317" s="30" t="str">
        <f>IFERROR(INDEX($I$1:$I$500,MATCH(ROWS($K$1:K317),$K$1:$K$500,0)),"")</f>
        <v/>
      </c>
    </row>
    <row r="318" spans="10:12" x14ac:dyDescent="0.25">
      <c r="J318" s="30">
        <f>--ISNUMBER(IFERROR(SEARCH(Quote!$G$1,I318,1),""))</f>
        <v>0</v>
      </c>
      <c r="K318" s="30" t="str">
        <f>IF(J318=1,COUNTIF($J$1:J318,1),"")</f>
        <v/>
      </c>
      <c r="L318" s="30" t="str">
        <f>IFERROR(INDEX($I$1:$I$500,MATCH(ROWS($K$1:K318),$K$1:$K$500,0)),"")</f>
        <v/>
      </c>
    </row>
    <row r="319" spans="10:12" x14ac:dyDescent="0.25">
      <c r="J319" s="30">
        <f>--ISNUMBER(IFERROR(SEARCH(Quote!$G$1,I319,1),""))</f>
        <v>0</v>
      </c>
      <c r="K319" s="30" t="str">
        <f>IF(J319=1,COUNTIF($J$1:J319,1),"")</f>
        <v/>
      </c>
      <c r="L319" s="30" t="str">
        <f>IFERROR(INDEX($I$1:$I$500,MATCH(ROWS($K$1:K319),$K$1:$K$500,0)),"")</f>
        <v/>
      </c>
    </row>
    <row r="320" spans="10:12" x14ac:dyDescent="0.25">
      <c r="J320" s="30">
        <f>--ISNUMBER(IFERROR(SEARCH(Quote!$G$1,I320,1),""))</f>
        <v>0</v>
      </c>
      <c r="K320" s="30" t="str">
        <f>IF(J320=1,COUNTIF($J$1:J320,1),"")</f>
        <v/>
      </c>
      <c r="L320" s="30" t="str">
        <f>IFERROR(INDEX($I$1:$I$500,MATCH(ROWS($K$1:K320),$K$1:$K$500,0)),"")</f>
        <v/>
      </c>
    </row>
    <row r="321" spans="10:12" x14ac:dyDescent="0.25">
      <c r="J321" s="30">
        <f>--ISNUMBER(IFERROR(SEARCH(Quote!$G$1,I321,1),""))</f>
        <v>0</v>
      </c>
      <c r="K321" s="30" t="str">
        <f>IF(J321=1,COUNTIF($J$1:J321,1),"")</f>
        <v/>
      </c>
      <c r="L321" s="30" t="str">
        <f>IFERROR(INDEX($I$1:$I$500,MATCH(ROWS($K$1:K321),$K$1:$K$500,0)),"")</f>
        <v/>
      </c>
    </row>
    <row r="322" spans="10:12" x14ac:dyDescent="0.25">
      <c r="J322" s="30">
        <f>--ISNUMBER(IFERROR(SEARCH(Quote!$G$1,I322,1),""))</f>
        <v>0</v>
      </c>
      <c r="K322" s="30" t="str">
        <f>IF(J322=1,COUNTIF($J$1:J322,1),"")</f>
        <v/>
      </c>
      <c r="L322" s="30" t="str">
        <f>IFERROR(INDEX($I$1:$I$500,MATCH(ROWS($K$1:K322),$K$1:$K$500,0)),"")</f>
        <v/>
      </c>
    </row>
    <row r="323" spans="10:12" x14ac:dyDescent="0.25">
      <c r="J323" s="30">
        <f>--ISNUMBER(IFERROR(SEARCH(Quote!$G$1,I323,1),""))</f>
        <v>0</v>
      </c>
      <c r="K323" s="30" t="str">
        <f>IF(J323=1,COUNTIF($J$1:J323,1),"")</f>
        <v/>
      </c>
      <c r="L323" s="30" t="str">
        <f>IFERROR(INDEX($I$1:$I$500,MATCH(ROWS($K$1:K323),$K$1:$K$500,0)),"")</f>
        <v/>
      </c>
    </row>
    <row r="324" spans="10:12" x14ac:dyDescent="0.25">
      <c r="J324" s="30">
        <f>--ISNUMBER(IFERROR(SEARCH(Quote!$G$1,I324,1),""))</f>
        <v>0</v>
      </c>
      <c r="K324" s="30" t="str">
        <f>IF(J324=1,COUNTIF($J$1:J324,1),"")</f>
        <v/>
      </c>
      <c r="L324" s="30" t="str">
        <f>IFERROR(INDEX($I$1:$I$500,MATCH(ROWS($K$1:K324),$K$1:$K$500,0)),"")</f>
        <v/>
      </c>
    </row>
    <row r="325" spans="10:12" x14ac:dyDescent="0.25">
      <c r="J325" s="30">
        <f>--ISNUMBER(IFERROR(SEARCH(Quote!$G$1,I325,1),""))</f>
        <v>0</v>
      </c>
      <c r="K325" s="30" t="str">
        <f>IF(J325=1,COUNTIF($J$1:J325,1),"")</f>
        <v/>
      </c>
      <c r="L325" s="30" t="str">
        <f>IFERROR(INDEX($I$1:$I$500,MATCH(ROWS($K$1:K325),$K$1:$K$500,0)),"")</f>
        <v/>
      </c>
    </row>
    <row r="326" spans="10:12" x14ac:dyDescent="0.25">
      <c r="J326" s="30">
        <f>--ISNUMBER(IFERROR(SEARCH(Quote!$G$1,I326,1),""))</f>
        <v>0</v>
      </c>
      <c r="K326" s="30" t="str">
        <f>IF(J326=1,COUNTIF($J$1:J326,1),"")</f>
        <v/>
      </c>
      <c r="L326" s="30" t="str">
        <f>IFERROR(INDEX($I$1:$I$500,MATCH(ROWS($K$1:K326),$K$1:$K$500,0)),"")</f>
        <v/>
      </c>
    </row>
    <row r="327" spans="10:12" x14ac:dyDescent="0.25">
      <c r="J327" s="30">
        <f>--ISNUMBER(IFERROR(SEARCH(Quote!$G$1,I327,1),""))</f>
        <v>0</v>
      </c>
      <c r="K327" s="30" t="str">
        <f>IF(J327=1,COUNTIF($J$1:J327,1),"")</f>
        <v/>
      </c>
      <c r="L327" s="30" t="str">
        <f>IFERROR(INDEX($I$1:$I$500,MATCH(ROWS($K$1:K327),$K$1:$K$500,0)),"")</f>
        <v/>
      </c>
    </row>
    <row r="328" spans="10:12" x14ac:dyDescent="0.25">
      <c r="J328" s="30">
        <f>--ISNUMBER(IFERROR(SEARCH(Quote!$G$1,I328,1),""))</f>
        <v>0</v>
      </c>
      <c r="K328" s="30" t="str">
        <f>IF(J328=1,COUNTIF($J$1:J328,1),"")</f>
        <v/>
      </c>
      <c r="L328" s="30" t="str">
        <f>IFERROR(INDEX($I$1:$I$500,MATCH(ROWS($K$1:K328),$K$1:$K$500,0)),"")</f>
        <v/>
      </c>
    </row>
    <row r="329" spans="10:12" x14ac:dyDescent="0.25">
      <c r="J329" s="30">
        <f>--ISNUMBER(IFERROR(SEARCH(Quote!$G$1,I329,1),""))</f>
        <v>0</v>
      </c>
      <c r="K329" s="30" t="str">
        <f>IF(J329=1,COUNTIF($J$1:J329,1),"")</f>
        <v/>
      </c>
      <c r="L329" s="30" t="str">
        <f>IFERROR(INDEX($I$1:$I$500,MATCH(ROWS($K$1:K329),$K$1:$K$500,0)),"")</f>
        <v/>
      </c>
    </row>
    <row r="330" spans="10:12" x14ac:dyDescent="0.25">
      <c r="J330" s="30">
        <f>--ISNUMBER(IFERROR(SEARCH(Quote!$G$1,I330,1),""))</f>
        <v>0</v>
      </c>
      <c r="K330" s="30" t="str">
        <f>IF(J330=1,COUNTIF($J$1:J330,1),"")</f>
        <v/>
      </c>
      <c r="L330" s="30" t="str">
        <f>IFERROR(INDEX($I$1:$I$500,MATCH(ROWS($K$1:K330),$K$1:$K$500,0)),"")</f>
        <v/>
      </c>
    </row>
    <row r="331" spans="10:12" x14ac:dyDescent="0.25">
      <c r="J331" s="30">
        <f>--ISNUMBER(IFERROR(SEARCH(Quote!$G$1,I331,1),""))</f>
        <v>0</v>
      </c>
      <c r="K331" s="30" t="str">
        <f>IF(J331=1,COUNTIF($J$1:J331,1),"")</f>
        <v/>
      </c>
      <c r="L331" s="30" t="str">
        <f>IFERROR(INDEX($I$1:$I$500,MATCH(ROWS($K$1:K331),$K$1:$K$500,0)),"")</f>
        <v/>
      </c>
    </row>
    <row r="332" spans="10:12" x14ac:dyDescent="0.25">
      <c r="J332" s="30">
        <f>--ISNUMBER(IFERROR(SEARCH(Quote!$G$1,I332,1),""))</f>
        <v>0</v>
      </c>
      <c r="K332" s="30" t="str">
        <f>IF(J332=1,COUNTIF($J$1:J332,1),"")</f>
        <v/>
      </c>
      <c r="L332" s="30" t="str">
        <f>IFERROR(INDEX($I$1:$I$500,MATCH(ROWS($K$1:K332),$K$1:$K$500,0)),"")</f>
        <v/>
      </c>
    </row>
    <row r="333" spans="10:12" x14ac:dyDescent="0.25">
      <c r="J333" s="30">
        <f>--ISNUMBER(IFERROR(SEARCH(Quote!$G$1,I333,1),""))</f>
        <v>0</v>
      </c>
      <c r="K333" s="30" t="str">
        <f>IF(J333=1,COUNTIF($J$1:J333,1),"")</f>
        <v/>
      </c>
      <c r="L333" s="30" t="str">
        <f>IFERROR(INDEX($I$1:$I$500,MATCH(ROWS($K$1:K333),$K$1:$K$500,0)),"")</f>
        <v/>
      </c>
    </row>
    <row r="334" spans="10:12" x14ac:dyDescent="0.25">
      <c r="J334" s="30">
        <f>--ISNUMBER(IFERROR(SEARCH(Quote!$G$1,I334,1),""))</f>
        <v>0</v>
      </c>
      <c r="K334" s="30" t="str">
        <f>IF(J334=1,COUNTIF($J$1:J334,1),"")</f>
        <v/>
      </c>
      <c r="L334" s="30" t="str">
        <f>IFERROR(INDEX($I$1:$I$500,MATCH(ROWS($K$1:K334),$K$1:$K$500,0)),"")</f>
        <v/>
      </c>
    </row>
    <row r="335" spans="10:12" x14ac:dyDescent="0.25">
      <c r="J335" s="30">
        <f>--ISNUMBER(IFERROR(SEARCH(Quote!$G$1,I335,1),""))</f>
        <v>0</v>
      </c>
      <c r="K335" s="30" t="str">
        <f>IF(J335=1,COUNTIF($J$1:J335,1),"")</f>
        <v/>
      </c>
      <c r="L335" s="30" t="str">
        <f>IFERROR(INDEX($I$1:$I$500,MATCH(ROWS($K$1:K335),$K$1:$K$500,0)),"")</f>
        <v/>
      </c>
    </row>
    <row r="336" spans="10:12" x14ac:dyDescent="0.25">
      <c r="J336" s="30">
        <f>--ISNUMBER(IFERROR(SEARCH(Quote!$G$1,I336,1),""))</f>
        <v>0</v>
      </c>
      <c r="K336" s="30" t="str">
        <f>IF(J336=1,COUNTIF($J$1:J336,1),"")</f>
        <v/>
      </c>
      <c r="L336" s="30" t="str">
        <f>IFERROR(INDEX($I$1:$I$500,MATCH(ROWS($K$1:K336),$K$1:$K$500,0)),"")</f>
        <v/>
      </c>
    </row>
    <row r="337" spans="10:12" x14ac:dyDescent="0.25">
      <c r="J337" s="30">
        <f>--ISNUMBER(IFERROR(SEARCH(Quote!$G$1,I337,1),""))</f>
        <v>0</v>
      </c>
      <c r="K337" s="30" t="str">
        <f>IF(J337=1,COUNTIF($J$1:J337,1),"")</f>
        <v/>
      </c>
      <c r="L337" s="30" t="str">
        <f>IFERROR(INDEX($I$1:$I$500,MATCH(ROWS($K$1:K337),$K$1:$K$500,0)),"")</f>
        <v/>
      </c>
    </row>
    <row r="338" spans="10:12" x14ac:dyDescent="0.25">
      <c r="J338" s="30">
        <f>--ISNUMBER(IFERROR(SEARCH(Quote!$G$1,I338,1),""))</f>
        <v>0</v>
      </c>
      <c r="K338" s="30" t="str">
        <f>IF(J338=1,COUNTIF($J$1:J338,1),"")</f>
        <v/>
      </c>
      <c r="L338" s="30" t="str">
        <f>IFERROR(INDEX($I$1:$I$500,MATCH(ROWS($K$1:K338),$K$1:$K$500,0)),"")</f>
        <v/>
      </c>
    </row>
    <row r="339" spans="10:12" x14ac:dyDescent="0.25">
      <c r="J339" s="30">
        <f>--ISNUMBER(IFERROR(SEARCH(Quote!$G$1,I339,1),""))</f>
        <v>0</v>
      </c>
      <c r="K339" s="30" t="str">
        <f>IF(J339=1,COUNTIF($J$1:J339,1),"")</f>
        <v/>
      </c>
      <c r="L339" s="30" t="str">
        <f>IFERROR(INDEX($I$1:$I$500,MATCH(ROWS($K$1:K339),$K$1:$K$500,0)),"")</f>
        <v/>
      </c>
    </row>
    <row r="340" spans="10:12" x14ac:dyDescent="0.25">
      <c r="J340" s="30">
        <f>--ISNUMBER(IFERROR(SEARCH(Quote!$G$1,I340,1),""))</f>
        <v>0</v>
      </c>
      <c r="K340" s="30" t="str">
        <f>IF(J340=1,COUNTIF($J$1:J340,1),"")</f>
        <v/>
      </c>
      <c r="L340" s="30" t="str">
        <f>IFERROR(INDEX($I$1:$I$500,MATCH(ROWS($K$1:K340),$K$1:$K$500,0)),"")</f>
        <v/>
      </c>
    </row>
    <row r="341" spans="10:12" x14ac:dyDescent="0.25">
      <c r="J341" s="30">
        <f>--ISNUMBER(IFERROR(SEARCH(Quote!$G$1,I341,1),""))</f>
        <v>0</v>
      </c>
      <c r="K341" s="30" t="str">
        <f>IF(J341=1,COUNTIF($J$1:J341,1),"")</f>
        <v/>
      </c>
      <c r="L341" s="30" t="str">
        <f>IFERROR(INDEX($I$1:$I$500,MATCH(ROWS($K$1:K341),$K$1:$K$500,0)),"")</f>
        <v/>
      </c>
    </row>
    <row r="342" spans="10:12" x14ac:dyDescent="0.25">
      <c r="J342" s="30">
        <f>--ISNUMBER(IFERROR(SEARCH(Quote!$G$1,I342,1),""))</f>
        <v>0</v>
      </c>
      <c r="K342" s="30" t="str">
        <f>IF(J342=1,COUNTIF($J$1:J342,1),"")</f>
        <v/>
      </c>
      <c r="L342" s="30" t="str">
        <f>IFERROR(INDEX($I$1:$I$500,MATCH(ROWS($K$1:K342),$K$1:$K$500,0)),"")</f>
        <v/>
      </c>
    </row>
    <row r="343" spans="10:12" x14ac:dyDescent="0.25">
      <c r="J343" s="30">
        <f>--ISNUMBER(IFERROR(SEARCH(Quote!$G$1,I343,1),""))</f>
        <v>0</v>
      </c>
      <c r="K343" s="30" t="str">
        <f>IF(J343=1,COUNTIF($J$1:J343,1),"")</f>
        <v/>
      </c>
      <c r="L343" s="30" t="str">
        <f>IFERROR(INDEX($I$1:$I$500,MATCH(ROWS($K$1:K343),$K$1:$K$500,0)),"")</f>
        <v/>
      </c>
    </row>
    <row r="344" spans="10:12" x14ac:dyDescent="0.25">
      <c r="J344" s="30">
        <f>--ISNUMBER(IFERROR(SEARCH(Quote!$G$1,I344,1),""))</f>
        <v>0</v>
      </c>
      <c r="K344" s="30" t="str">
        <f>IF(J344=1,COUNTIF($J$1:J344,1),"")</f>
        <v/>
      </c>
      <c r="L344" s="30" t="str">
        <f>IFERROR(INDEX($I$1:$I$500,MATCH(ROWS($K$1:K344),$K$1:$K$500,0)),"")</f>
        <v/>
      </c>
    </row>
    <row r="345" spans="10:12" x14ac:dyDescent="0.25">
      <c r="J345" s="30">
        <f>--ISNUMBER(IFERROR(SEARCH(Quote!$G$1,I345,1),""))</f>
        <v>0</v>
      </c>
      <c r="K345" s="30" t="str">
        <f>IF(J345=1,COUNTIF($J$1:J345,1),"")</f>
        <v/>
      </c>
      <c r="L345" s="30" t="str">
        <f>IFERROR(INDEX($I$1:$I$500,MATCH(ROWS($K$1:K345),$K$1:$K$500,0)),"")</f>
        <v/>
      </c>
    </row>
    <row r="346" spans="10:12" x14ac:dyDescent="0.25">
      <c r="J346" s="30">
        <f>--ISNUMBER(IFERROR(SEARCH(Quote!$G$1,I346,1),""))</f>
        <v>0</v>
      </c>
      <c r="K346" s="30" t="str">
        <f>IF(J346=1,COUNTIF($J$1:J346,1),"")</f>
        <v/>
      </c>
      <c r="L346" s="30" t="str">
        <f>IFERROR(INDEX($I$1:$I$500,MATCH(ROWS($K$1:K346),$K$1:$K$500,0)),"")</f>
        <v/>
      </c>
    </row>
    <row r="347" spans="10:12" x14ac:dyDescent="0.25">
      <c r="J347" s="30">
        <f>--ISNUMBER(IFERROR(SEARCH(Quote!$G$1,I347,1),""))</f>
        <v>0</v>
      </c>
      <c r="K347" s="30" t="str">
        <f>IF(J347=1,COUNTIF($J$1:J347,1),"")</f>
        <v/>
      </c>
      <c r="L347" s="30" t="str">
        <f>IFERROR(INDEX($I$1:$I$500,MATCH(ROWS($K$1:K347),$K$1:$K$500,0)),"")</f>
        <v/>
      </c>
    </row>
    <row r="348" spans="10:12" x14ac:dyDescent="0.25">
      <c r="J348" s="30">
        <f>--ISNUMBER(IFERROR(SEARCH(Quote!$G$1,I348,1),""))</f>
        <v>0</v>
      </c>
      <c r="K348" s="30" t="str">
        <f>IF(J348=1,COUNTIF($J$1:J348,1),"")</f>
        <v/>
      </c>
      <c r="L348" s="30" t="str">
        <f>IFERROR(INDEX($I$1:$I$500,MATCH(ROWS($K$1:K348),$K$1:$K$500,0)),"")</f>
        <v/>
      </c>
    </row>
    <row r="349" spans="10:12" x14ac:dyDescent="0.25">
      <c r="J349" s="30">
        <f>--ISNUMBER(IFERROR(SEARCH(Quote!$G$1,I349,1),""))</f>
        <v>0</v>
      </c>
      <c r="K349" s="30" t="str">
        <f>IF(J349=1,COUNTIF($J$1:J349,1),"")</f>
        <v/>
      </c>
      <c r="L349" s="30" t="str">
        <f>IFERROR(INDEX($I$1:$I$500,MATCH(ROWS($K$1:K349),$K$1:$K$500,0)),"")</f>
        <v/>
      </c>
    </row>
    <row r="350" spans="10:12" x14ac:dyDescent="0.25">
      <c r="J350" s="30">
        <f>--ISNUMBER(IFERROR(SEARCH(Quote!$G$1,I350,1),""))</f>
        <v>0</v>
      </c>
      <c r="K350" s="30" t="str">
        <f>IF(J350=1,COUNTIF($J$1:J350,1),"")</f>
        <v/>
      </c>
      <c r="L350" s="30" t="str">
        <f>IFERROR(INDEX($I$1:$I$500,MATCH(ROWS($K$1:K350),$K$1:$K$500,0)),"")</f>
        <v/>
      </c>
    </row>
    <row r="351" spans="10:12" x14ac:dyDescent="0.25">
      <c r="J351" s="30">
        <f>--ISNUMBER(IFERROR(SEARCH(Quote!$G$1,I351,1),""))</f>
        <v>0</v>
      </c>
      <c r="K351" s="30" t="str">
        <f>IF(J351=1,COUNTIF($J$1:J351,1),"")</f>
        <v/>
      </c>
      <c r="L351" s="30" t="str">
        <f>IFERROR(INDEX($I$1:$I$500,MATCH(ROWS($K$1:K351),$K$1:$K$500,0)),"")</f>
        <v/>
      </c>
    </row>
    <row r="352" spans="10:12" x14ac:dyDescent="0.25">
      <c r="J352" s="30">
        <f>--ISNUMBER(IFERROR(SEARCH(Quote!$G$1,I352,1),""))</f>
        <v>0</v>
      </c>
      <c r="K352" s="30" t="str">
        <f>IF(J352=1,COUNTIF($J$1:J352,1),"")</f>
        <v/>
      </c>
      <c r="L352" s="30" t="str">
        <f>IFERROR(INDEX($I$1:$I$500,MATCH(ROWS($K$1:K352),$K$1:$K$500,0)),"")</f>
        <v/>
      </c>
    </row>
    <row r="353" spans="10:12" x14ac:dyDescent="0.25">
      <c r="J353" s="30">
        <f>--ISNUMBER(IFERROR(SEARCH(Quote!$G$1,I353,1),""))</f>
        <v>0</v>
      </c>
      <c r="K353" s="30" t="str">
        <f>IF(J353=1,COUNTIF($J$1:J353,1),"")</f>
        <v/>
      </c>
      <c r="L353" s="30" t="str">
        <f>IFERROR(INDEX($I$1:$I$500,MATCH(ROWS($K$1:K353),$K$1:$K$500,0)),"")</f>
        <v/>
      </c>
    </row>
    <row r="354" spans="10:12" x14ac:dyDescent="0.25">
      <c r="J354" s="30">
        <f>--ISNUMBER(IFERROR(SEARCH(Quote!$G$1,I354,1),""))</f>
        <v>0</v>
      </c>
      <c r="K354" s="30" t="str">
        <f>IF(J354=1,COUNTIF($J$1:J354,1),"")</f>
        <v/>
      </c>
      <c r="L354" s="30" t="str">
        <f>IFERROR(INDEX($I$1:$I$500,MATCH(ROWS($K$1:K354),$K$1:$K$500,0)),"")</f>
        <v/>
      </c>
    </row>
    <row r="355" spans="10:12" x14ac:dyDescent="0.25">
      <c r="J355" s="30">
        <f>--ISNUMBER(IFERROR(SEARCH(Quote!$G$1,I355,1),""))</f>
        <v>0</v>
      </c>
      <c r="K355" s="30" t="str">
        <f>IF(J355=1,COUNTIF($J$1:J355,1),"")</f>
        <v/>
      </c>
      <c r="L355" s="30" t="str">
        <f>IFERROR(INDEX($I$1:$I$500,MATCH(ROWS($K$1:K355),$K$1:$K$500,0)),"")</f>
        <v/>
      </c>
    </row>
    <row r="356" spans="10:12" x14ac:dyDescent="0.25">
      <c r="J356" s="30">
        <f>--ISNUMBER(IFERROR(SEARCH(Quote!$G$1,I356,1),""))</f>
        <v>0</v>
      </c>
      <c r="K356" s="30" t="str">
        <f>IF(J356=1,COUNTIF($J$1:J356,1),"")</f>
        <v/>
      </c>
      <c r="L356" s="30" t="str">
        <f>IFERROR(INDEX($I$1:$I$500,MATCH(ROWS($K$1:K356),$K$1:$K$500,0)),"")</f>
        <v/>
      </c>
    </row>
    <row r="357" spans="10:12" x14ac:dyDescent="0.25">
      <c r="J357" s="30">
        <f>--ISNUMBER(IFERROR(SEARCH(Quote!$G$1,I357,1),""))</f>
        <v>0</v>
      </c>
      <c r="K357" s="30" t="str">
        <f>IF(J357=1,COUNTIF($J$1:J357,1),"")</f>
        <v/>
      </c>
      <c r="L357" s="30" t="str">
        <f>IFERROR(INDEX($I$1:$I$500,MATCH(ROWS($K$1:K357),$K$1:$K$500,0)),"")</f>
        <v/>
      </c>
    </row>
    <row r="358" spans="10:12" x14ac:dyDescent="0.25">
      <c r="J358" s="30">
        <f>--ISNUMBER(IFERROR(SEARCH(Quote!$G$1,I358,1),""))</f>
        <v>0</v>
      </c>
      <c r="K358" s="30" t="str">
        <f>IF(J358=1,COUNTIF($J$1:J358,1),"")</f>
        <v/>
      </c>
      <c r="L358" s="30" t="str">
        <f>IFERROR(INDEX($I$1:$I$500,MATCH(ROWS($K$1:K358),$K$1:$K$500,0)),"")</f>
        <v/>
      </c>
    </row>
    <row r="359" spans="10:12" x14ac:dyDescent="0.25">
      <c r="J359" s="30">
        <f>--ISNUMBER(IFERROR(SEARCH(Quote!$G$1,I359,1),""))</f>
        <v>0</v>
      </c>
      <c r="K359" s="30" t="str">
        <f>IF(J359=1,COUNTIF($J$1:J359,1),"")</f>
        <v/>
      </c>
      <c r="L359" s="30" t="str">
        <f>IFERROR(INDEX($I$1:$I$500,MATCH(ROWS($K$1:K359),$K$1:$K$500,0)),"")</f>
        <v/>
      </c>
    </row>
    <row r="360" spans="10:12" x14ac:dyDescent="0.25">
      <c r="J360" s="30">
        <f>--ISNUMBER(IFERROR(SEARCH(Quote!$G$1,I360,1),""))</f>
        <v>0</v>
      </c>
      <c r="K360" s="30" t="str">
        <f>IF(J360=1,COUNTIF($J$1:J360,1),"")</f>
        <v/>
      </c>
      <c r="L360" s="30" t="str">
        <f>IFERROR(INDEX($I$1:$I$500,MATCH(ROWS($K$1:K360),$K$1:$K$500,0)),"")</f>
        <v/>
      </c>
    </row>
    <row r="361" spans="10:12" x14ac:dyDescent="0.25">
      <c r="J361" s="30">
        <f>--ISNUMBER(IFERROR(SEARCH(Quote!$G$1,I361,1),""))</f>
        <v>0</v>
      </c>
      <c r="K361" s="30" t="str">
        <f>IF(J361=1,COUNTIF($J$1:J361,1),"")</f>
        <v/>
      </c>
      <c r="L361" s="30" t="str">
        <f>IFERROR(INDEX($I$1:$I$500,MATCH(ROWS($K$1:K361),$K$1:$K$500,0)),"")</f>
        <v/>
      </c>
    </row>
    <row r="362" spans="10:12" x14ac:dyDescent="0.25">
      <c r="J362" s="30">
        <f>--ISNUMBER(IFERROR(SEARCH(Quote!$G$1,I362,1),""))</f>
        <v>0</v>
      </c>
      <c r="K362" s="30" t="str">
        <f>IF(J362=1,COUNTIF($J$1:J362,1),"")</f>
        <v/>
      </c>
      <c r="L362" s="30" t="str">
        <f>IFERROR(INDEX($I$1:$I$500,MATCH(ROWS($K$1:K362),$K$1:$K$500,0)),"")</f>
        <v/>
      </c>
    </row>
    <row r="363" spans="10:12" x14ac:dyDescent="0.25">
      <c r="J363" s="30">
        <f>--ISNUMBER(IFERROR(SEARCH(Quote!$G$1,I363,1),""))</f>
        <v>0</v>
      </c>
      <c r="K363" s="30" t="str">
        <f>IF(J363=1,COUNTIF($J$1:J363,1),"")</f>
        <v/>
      </c>
      <c r="L363" s="30" t="str">
        <f>IFERROR(INDEX($I$1:$I$500,MATCH(ROWS($K$1:K363),$K$1:$K$500,0)),"")</f>
        <v/>
      </c>
    </row>
    <row r="364" spans="10:12" x14ac:dyDescent="0.25">
      <c r="J364" s="30">
        <f>--ISNUMBER(IFERROR(SEARCH(Quote!$G$1,I364,1),""))</f>
        <v>0</v>
      </c>
      <c r="K364" s="30" t="str">
        <f>IF(J364=1,COUNTIF($J$1:J364,1),"")</f>
        <v/>
      </c>
      <c r="L364" s="30" t="str">
        <f>IFERROR(INDEX($I$1:$I$500,MATCH(ROWS($K$1:K364),$K$1:$K$500,0)),"")</f>
        <v/>
      </c>
    </row>
    <row r="365" spans="10:12" x14ac:dyDescent="0.25">
      <c r="J365" s="30">
        <f>--ISNUMBER(IFERROR(SEARCH(Quote!$G$1,I365,1),""))</f>
        <v>0</v>
      </c>
      <c r="K365" s="30" t="str">
        <f>IF(J365=1,COUNTIF($J$1:J365,1),"")</f>
        <v/>
      </c>
      <c r="L365" s="30" t="str">
        <f>IFERROR(INDEX($I$1:$I$500,MATCH(ROWS($K$1:K365),$K$1:$K$500,0)),"")</f>
        <v/>
      </c>
    </row>
    <row r="366" spans="10:12" x14ac:dyDescent="0.25">
      <c r="J366" s="30">
        <f>--ISNUMBER(IFERROR(SEARCH(Quote!$G$1,I366,1),""))</f>
        <v>0</v>
      </c>
      <c r="K366" s="30" t="str">
        <f>IF(J366=1,COUNTIF($J$1:J366,1),"")</f>
        <v/>
      </c>
      <c r="L366" s="30" t="str">
        <f>IFERROR(INDEX($I$1:$I$500,MATCH(ROWS($K$1:K366),$K$1:$K$500,0)),"")</f>
        <v/>
      </c>
    </row>
    <row r="367" spans="10:12" x14ac:dyDescent="0.25">
      <c r="J367" s="30">
        <f>--ISNUMBER(IFERROR(SEARCH(Quote!$G$1,I367,1),""))</f>
        <v>0</v>
      </c>
      <c r="K367" s="30" t="str">
        <f>IF(J367=1,COUNTIF($J$1:J367,1),"")</f>
        <v/>
      </c>
      <c r="L367" s="30" t="str">
        <f>IFERROR(INDEX($I$1:$I$500,MATCH(ROWS($K$1:K367),$K$1:$K$500,0)),"")</f>
        <v/>
      </c>
    </row>
    <row r="368" spans="10:12" x14ac:dyDescent="0.25">
      <c r="J368" s="30">
        <f>--ISNUMBER(IFERROR(SEARCH(Quote!$G$1,I368,1),""))</f>
        <v>0</v>
      </c>
      <c r="K368" s="30" t="str">
        <f>IF(J368=1,COUNTIF($J$1:J368,1),"")</f>
        <v/>
      </c>
      <c r="L368" s="30" t="str">
        <f>IFERROR(INDEX($I$1:$I$500,MATCH(ROWS($K$1:K368),$K$1:$K$500,0)),"")</f>
        <v/>
      </c>
    </row>
    <row r="369" spans="10:12" x14ac:dyDescent="0.25">
      <c r="J369" s="30">
        <f>--ISNUMBER(IFERROR(SEARCH(Quote!$G$1,I369,1),""))</f>
        <v>0</v>
      </c>
      <c r="K369" s="30" t="str">
        <f>IF(J369=1,COUNTIF($J$1:J369,1),"")</f>
        <v/>
      </c>
      <c r="L369" s="30" t="str">
        <f>IFERROR(INDEX($I$1:$I$500,MATCH(ROWS($K$1:K369),$K$1:$K$500,0)),"")</f>
        <v/>
      </c>
    </row>
    <row r="370" spans="10:12" x14ac:dyDescent="0.25">
      <c r="J370" s="30">
        <f>--ISNUMBER(IFERROR(SEARCH(Quote!$G$1,I370,1),""))</f>
        <v>0</v>
      </c>
      <c r="K370" s="30" t="str">
        <f>IF(J370=1,COUNTIF($J$1:J370,1),"")</f>
        <v/>
      </c>
      <c r="L370" s="30" t="str">
        <f>IFERROR(INDEX($I$1:$I$500,MATCH(ROWS($K$1:K370),$K$1:$K$500,0)),"")</f>
        <v/>
      </c>
    </row>
    <row r="371" spans="10:12" x14ac:dyDescent="0.25">
      <c r="J371" s="30">
        <f>--ISNUMBER(IFERROR(SEARCH(Quote!$G$1,I371,1),""))</f>
        <v>0</v>
      </c>
      <c r="K371" s="30" t="str">
        <f>IF(J371=1,COUNTIF($J$1:J371,1),"")</f>
        <v/>
      </c>
      <c r="L371" s="30" t="str">
        <f>IFERROR(INDEX($I$1:$I$500,MATCH(ROWS($K$1:K371),$K$1:$K$500,0)),"")</f>
        <v/>
      </c>
    </row>
    <row r="372" spans="10:12" x14ac:dyDescent="0.25">
      <c r="J372" s="30">
        <f>--ISNUMBER(IFERROR(SEARCH(Quote!$G$1,I372,1),""))</f>
        <v>0</v>
      </c>
      <c r="K372" s="30" t="str">
        <f>IF(J372=1,COUNTIF($J$1:J372,1),"")</f>
        <v/>
      </c>
      <c r="L372" s="30" t="str">
        <f>IFERROR(INDEX($I$1:$I$500,MATCH(ROWS($K$1:K372),$K$1:$K$500,0)),"")</f>
        <v/>
      </c>
    </row>
    <row r="373" spans="10:12" x14ac:dyDescent="0.25">
      <c r="J373" s="30">
        <f>--ISNUMBER(IFERROR(SEARCH(Quote!$G$1,I373,1),""))</f>
        <v>0</v>
      </c>
      <c r="K373" s="30" t="str">
        <f>IF(J373=1,COUNTIF($J$1:J373,1),"")</f>
        <v/>
      </c>
      <c r="L373" s="30" t="str">
        <f>IFERROR(INDEX($I$1:$I$500,MATCH(ROWS($K$1:K373),$K$1:$K$500,0)),"")</f>
        <v/>
      </c>
    </row>
    <row r="374" spans="10:12" x14ac:dyDescent="0.25">
      <c r="J374" s="30">
        <f>--ISNUMBER(IFERROR(SEARCH(Quote!$G$1,I374,1),""))</f>
        <v>0</v>
      </c>
      <c r="K374" s="30" t="str">
        <f>IF(J374=1,COUNTIF($J$1:J374,1),"")</f>
        <v/>
      </c>
      <c r="L374" s="30" t="str">
        <f>IFERROR(INDEX($I$1:$I$500,MATCH(ROWS($K$1:K374),$K$1:$K$500,0)),"")</f>
        <v/>
      </c>
    </row>
    <row r="375" spans="10:12" x14ac:dyDescent="0.25">
      <c r="J375" s="30">
        <f>--ISNUMBER(IFERROR(SEARCH(Quote!$G$1,I375,1),""))</f>
        <v>0</v>
      </c>
      <c r="K375" s="30" t="str">
        <f>IF(J375=1,COUNTIF($J$1:J375,1),"")</f>
        <v/>
      </c>
      <c r="L375" s="30" t="str">
        <f>IFERROR(INDEX($I$1:$I$500,MATCH(ROWS($K$1:K375),$K$1:$K$500,0)),"")</f>
        <v/>
      </c>
    </row>
    <row r="376" spans="10:12" x14ac:dyDescent="0.25">
      <c r="J376" s="30">
        <f>--ISNUMBER(IFERROR(SEARCH(Quote!$G$1,I376,1),""))</f>
        <v>0</v>
      </c>
      <c r="K376" s="30" t="str">
        <f>IF(J376=1,COUNTIF($J$1:J376,1),"")</f>
        <v/>
      </c>
      <c r="L376" s="30" t="str">
        <f>IFERROR(INDEX($I$1:$I$500,MATCH(ROWS($K$1:K376),$K$1:$K$500,0)),"")</f>
        <v/>
      </c>
    </row>
    <row r="377" spans="10:12" x14ac:dyDescent="0.25">
      <c r="J377" s="30">
        <f>--ISNUMBER(IFERROR(SEARCH(Quote!$G$1,I377,1),""))</f>
        <v>0</v>
      </c>
      <c r="K377" s="30" t="str">
        <f>IF(J377=1,COUNTIF($J$1:J377,1),"")</f>
        <v/>
      </c>
      <c r="L377" s="30" t="str">
        <f>IFERROR(INDEX($I$1:$I$500,MATCH(ROWS($K$1:K377),$K$1:$K$500,0)),"")</f>
        <v/>
      </c>
    </row>
    <row r="378" spans="10:12" x14ac:dyDescent="0.25">
      <c r="J378" s="30">
        <f>--ISNUMBER(IFERROR(SEARCH(Quote!$G$1,I378,1),""))</f>
        <v>0</v>
      </c>
      <c r="K378" s="30" t="str">
        <f>IF(J378=1,COUNTIF($J$1:J378,1),"")</f>
        <v/>
      </c>
      <c r="L378" s="30" t="str">
        <f>IFERROR(INDEX($I$1:$I$500,MATCH(ROWS($K$1:K378),$K$1:$K$500,0)),"")</f>
        <v/>
      </c>
    </row>
    <row r="379" spans="10:12" x14ac:dyDescent="0.25">
      <c r="J379" s="30">
        <f>--ISNUMBER(IFERROR(SEARCH(Quote!$G$1,I379,1),""))</f>
        <v>0</v>
      </c>
      <c r="K379" s="30" t="str">
        <f>IF(J379=1,COUNTIF($J$1:J379,1),"")</f>
        <v/>
      </c>
      <c r="L379" s="30" t="str">
        <f>IFERROR(INDEX($I$1:$I$500,MATCH(ROWS($K$1:K379),$K$1:$K$500,0)),"")</f>
        <v/>
      </c>
    </row>
    <row r="380" spans="10:12" x14ac:dyDescent="0.25">
      <c r="J380" s="30">
        <f>--ISNUMBER(IFERROR(SEARCH(Quote!$G$1,I380,1),""))</f>
        <v>0</v>
      </c>
      <c r="K380" s="30" t="str">
        <f>IF(J380=1,COUNTIF($J$1:J380,1),"")</f>
        <v/>
      </c>
      <c r="L380" s="30" t="str">
        <f>IFERROR(INDEX($I$1:$I$500,MATCH(ROWS($K$1:K380),$K$1:$K$500,0)),"")</f>
        <v/>
      </c>
    </row>
    <row r="381" spans="10:12" x14ac:dyDescent="0.25">
      <c r="J381" s="30">
        <f>--ISNUMBER(IFERROR(SEARCH(Quote!$G$1,I381,1),""))</f>
        <v>0</v>
      </c>
      <c r="K381" s="30" t="str">
        <f>IF(J381=1,COUNTIF($J$1:J381,1),"")</f>
        <v/>
      </c>
      <c r="L381" s="30" t="str">
        <f>IFERROR(INDEX($I$1:$I$500,MATCH(ROWS($K$1:K381),$K$1:$K$500,0)),"")</f>
        <v/>
      </c>
    </row>
    <row r="382" spans="10:12" x14ac:dyDescent="0.25">
      <c r="J382" s="30">
        <f>--ISNUMBER(IFERROR(SEARCH(Quote!$G$1,I382,1),""))</f>
        <v>0</v>
      </c>
      <c r="K382" s="30" t="str">
        <f>IF(J382=1,COUNTIF($J$1:J382,1),"")</f>
        <v/>
      </c>
      <c r="L382" s="30" t="str">
        <f>IFERROR(INDEX($I$1:$I$500,MATCH(ROWS($K$1:K382),$K$1:$K$500,0)),"")</f>
        <v/>
      </c>
    </row>
    <row r="383" spans="10:12" x14ac:dyDescent="0.25">
      <c r="J383" s="30">
        <f>--ISNUMBER(IFERROR(SEARCH(Quote!$G$1,I383,1),""))</f>
        <v>0</v>
      </c>
      <c r="K383" s="30" t="str">
        <f>IF(J383=1,COUNTIF($J$1:J383,1),"")</f>
        <v/>
      </c>
      <c r="L383" s="30" t="str">
        <f>IFERROR(INDEX($I$1:$I$500,MATCH(ROWS($K$1:K383),$K$1:$K$500,0)),"")</f>
        <v/>
      </c>
    </row>
    <row r="384" spans="10:12" x14ac:dyDescent="0.25">
      <c r="J384" s="30">
        <f>--ISNUMBER(IFERROR(SEARCH(Quote!$G$1,I384,1),""))</f>
        <v>0</v>
      </c>
      <c r="K384" s="30" t="str">
        <f>IF(J384=1,COUNTIF($J$1:J384,1),"")</f>
        <v/>
      </c>
      <c r="L384" s="30" t="str">
        <f>IFERROR(INDEX($I$1:$I$500,MATCH(ROWS($K$1:K384),$K$1:$K$500,0)),"")</f>
        <v/>
      </c>
    </row>
    <row r="385" spans="10:12" x14ac:dyDescent="0.25">
      <c r="J385" s="30">
        <f>--ISNUMBER(IFERROR(SEARCH(Quote!$G$1,I385,1),""))</f>
        <v>0</v>
      </c>
      <c r="K385" s="30" t="str">
        <f>IF(J385=1,COUNTIF($J$1:J385,1),"")</f>
        <v/>
      </c>
      <c r="L385" s="30" t="str">
        <f>IFERROR(INDEX($I$1:$I$500,MATCH(ROWS($K$1:K385),$K$1:$K$500,0)),"")</f>
        <v/>
      </c>
    </row>
    <row r="386" spans="10:12" x14ac:dyDescent="0.25">
      <c r="J386" s="30">
        <f>--ISNUMBER(IFERROR(SEARCH(Quote!$G$1,I386,1),""))</f>
        <v>0</v>
      </c>
      <c r="K386" s="30" t="str">
        <f>IF(J386=1,COUNTIF($J$1:J386,1),"")</f>
        <v/>
      </c>
      <c r="L386" s="30" t="str">
        <f>IFERROR(INDEX($I$1:$I$500,MATCH(ROWS($K$1:K386),$K$1:$K$500,0)),"")</f>
        <v/>
      </c>
    </row>
    <row r="387" spans="10:12" x14ac:dyDescent="0.25">
      <c r="J387" s="30">
        <f>--ISNUMBER(IFERROR(SEARCH(Quote!$G$1,I387,1),""))</f>
        <v>0</v>
      </c>
      <c r="K387" s="30" t="str">
        <f>IF(J387=1,COUNTIF($J$1:J387,1),"")</f>
        <v/>
      </c>
      <c r="L387" s="30" t="str">
        <f>IFERROR(INDEX($I$1:$I$500,MATCH(ROWS($K$1:K387),$K$1:$K$500,0)),"")</f>
        <v/>
      </c>
    </row>
    <row r="388" spans="10:12" x14ac:dyDescent="0.25">
      <c r="J388" s="30">
        <f>--ISNUMBER(IFERROR(SEARCH(Quote!$G$1,I388,1),""))</f>
        <v>0</v>
      </c>
      <c r="K388" s="30" t="str">
        <f>IF(J388=1,COUNTIF($J$1:J388,1),"")</f>
        <v/>
      </c>
      <c r="L388" s="30" t="str">
        <f>IFERROR(INDEX($I$1:$I$500,MATCH(ROWS($K$1:K388),$K$1:$K$500,0)),"")</f>
        <v/>
      </c>
    </row>
    <row r="389" spans="10:12" x14ac:dyDescent="0.25">
      <c r="J389" s="30">
        <f>--ISNUMBER(IFERROR(SEARCH(Quote!$G$1,I389,1),""))</f>
        <v>0</v>
      </c>
      <c r="K389" s="30" t="str">
        <f>IF(J389=1,COUNTIF($J$1:J389,1),"")</f>
        <v/>
      </c>
      <c r="L389" s="30" t="str">
        <f>IFERROR(INDEX($I$1:$I$500,MATCH(ROWS($K$1:K389),$K$1:$K$500,0)),"")</f>
        <v/>
      </c>
    </row>
    <row r="390" spans="10:12" x14ac:dyDescent="0.25">
      <c r="J390" s="30">
        <f>--ISNUMBER(IFERROR(SEARCH(Quote!$G$1,I390,1),""))</f>
        <v>0</v>
      </c>
      <c r="K390" s="30" t="str">
        <f>IF(J390=1,COUNTIF($J$1:J390,1),"")</f>
        <v/>
      </c>
      <c r="L390" s="30" t="str">
        <f>IFERROR(INDEX($I$1:$I$500,MATCH(ROWS($K$1:K390),$K$1:$K$500,0)),"")</f>
        <v/>
      </c>
    </row>
    <row r="391" spans="10:12" x14ac:dyDescent="0.25">
      <c r="J391" s="30">
        <f>--ISNUMBER(IFERROR(SEARCH(Quote!$G$1,I391,1),""))</f>
        <v>0</v>
      </c>
      <c r="K391" s="30" t="str">
        <f>IF(J391=1,COUNTIF($J$1:J391,1),"")</f>
        <v/>
      </c>
      <c r="L391" s="30" t="str">
        <f>IFERROR(INDEX($I$1:$I$500,MATCH(ROWS($K$1:K391),$K$1:$K$500,0)),"")</f>
        <v/>
      </c>
    </row>
    <row r="392" spans="10:12" x14ac:dyDescent="0.25">
      <c r="J392" s="30">
        <f>--ISNUMBER(IFERROR(SEARCH(Quote!$G$1,I392,1),""))</f>
        <v>0</v>
      </c>
      <c r="K392" s="30" t="str">
        <f>IF(J392=1,COUNTIF($J$1:J392,1),"")</f>
        <v/>
      </c>
      <c r="L392" s="30" t="str">
        <f>IFERROR(INDEX($I$1:$I$500,MATCH(ROWS($K$1:K392),$K$1:$K$500,0)),"")</f>
        <v/>
      </c>
    </row>
    <row r="393" spans="10:12" x14ac:dyDescent="0.25">
      <c r="J393" s="30">
        <f>--ISNUMBER(IFERROR(SEARCH(Quote!$G$1,I393,1),""))</f>
        <v>0</v>
      </c>
      <c r="K393" s="30" t="str">
        <f>IF(J393=1,COUNTIF($J$1:J393,1),"")</f>
        <v/>
      </c>
      <c r="L393" s="30" t="str">
        <f>IFERROR(INDEX($I$1:$I$500,MATCH(ROWS($K$1:K393),$K$1:$K$500,0)),"")</f>
        <v/>
      </c>
    </row>
    <row r="394" spans="10:12" x14ac:dyDescent="0.25">
      <c r="J394" s="30">
        <f>--ISNUMBER(IFERROR(SEARCH(Quote!$G$1,I394,1),""))</f>
        <v>0</v>
      </c>
      <c r="K394" s="30" t="str">
        <f>IF(J394=1,COUNTIF($J$1:J394,1),"")</f>
        <v/>
      </c>
      <c r="L394" s="30" t="str">
        <f>IFERROR(INDEX($I$1:$I$500,MATCH(ROWS($K$1:K394),$K$1:$K$500,0)),"")</f>
        <v/>
      </c>
    </row>
    <row r="395" spans="10:12" x14ac:dyDescent="0.25">
      <c r="J395" s="30">
        <f>--ISNUMBER(IFERROR(SEARCH(Quote!$G$1,I395,1),""))</f>
        <v>0</v>
      </c>
      <c r="K395" s="30" t="str">
        <f>IF(J395=1,COUNTIF($J$1:J395,1),"")</f>
        <v/>
      </c>
      <c r="L395" s="30" t="str">
        <f>IFERROR(INDEX($I$1:$I$500,MATCH(ROWS($K$1:K395),$K$1:$K$500,0)),"")</f>
        <v/>
      </c>
    </row>
    <row r="396" spans="10:12" x14ac:dyDescent="0.25">
      <c r="J396" s="30">
        <f>--ISNUMBER(IFERROR(SEARCH(Quote!$G$1,I396,1),""))</f>
        <v>0</v>
      </c>
      <c r="K396" s="30" t="str">
        <f>IF(J396=1,COUNTIF($J$1:J396,1),"")</f>
        <v/>
      </c>
      <c r="L396" s="30" t="str">
        <f>IFERROR(INDEX($I$1:$I$500,MATCH(ROWS($K$1:K396),$K$1:$K$500,0)),"")</f>
        <v/>
      </c>
    </row>
    <row r="397" spans="10:12" x14ac:dyDescent="0.25">
      <c r="J397" s="30">
        <f>--ISNUMBER(IFERROR(SEARCH(Quote!$G$1,I397,1),""))</f>
        <v>0</v>
      </c>
      <c r="K397" s="30" t="str">
        <f>IF(J397=1,COUNTIF($J$1:J397,1),"")</f>
        <v/>
      </c>
      <c r="L397" s="30" t="str">
        <f>IFERROR(INDEX($I$1:$I$500,MATCH(ROWS($K$1:K397),$K$1:$K$500,0)),"")</f>
        <v/>
      </c>
    </row>
    <row r="398" spans="10:12" x14ac:dyDescent="0.25">
      <c r="J398" s="30">
        <f>--ISNUMBER(IFERROR(SEARCH(Quote!$G$1,I398,1),""))</f>
        <v>0</v>
      </c>
      <c r="K398" s="30" t="str">
        <f>IF(J398=1,COUNTIF($J$1:J398,1),"")</f>
        <v/>
      </c>
      <c r="L398" s="30" t="str">
        <f>IFERROR(INDEX($I$1:$I$500,MATCH(ROWS($K$1:K398),$K$1:$K$500,0)),"")</f>
        <v/>
      </c>
    </row>
    <row r="399" spans="10:12" x14ac:dyDescent="0.25">
      <c r="J399" s="30">
        <f>--ISNUMBER(IFERROR(SEARCH(Quote!$G$1,I399,1),""))</f>
        <v>0</v>
      </c>
      <c r="K399" s="30" t="str">
        <f>IF(J399=1,COUNTIF($J$1:J399,1),"")</f>
        <v/>
      </c>
      <c r="L399" s="30" t="str">
        <f>IFERROR(INDEX($I$1:$I$500,MATCH(ROWS($K$1:K399),$K$1:$K$500,0)),"")</f>
        <v/>
      </c>
    </row>
    <row r="400" spans="10:12" x14ac:dyDescent="0.25">
      <c r="J400" s="30">
        <f>--ISNUMBER(IFERROR(SEARCH(Quote!$G$1,I400,1),""))</f>
        <v>0</v>
      </c>
      <c r="K400" s="30" t="str">
        <f>IF(J400=1,COUNTIF($J$1:J400,1),"")</f>
        <v/>
      </c>
      <c r="L400" s="30" t="str">
        <f>IFERROR(INDEX($I$1:$I$500,MATCH(ROWS($K$1:K400),$K$1:$K$500,0)),"")</f>
        <v/>
      </c>
    </row>
    <row r="401" spans="10:12" x14ac:dyDescent="0.25">
      <c r="J401" s="30">
        <f>--ISNUMBER(IFERROR(SEARCH(Quote!$G$1,I401,1),""))</f>
        <v>0</v>
      </c>
      <c r="K401" s="30" t="str">
        <f>IF(J401=1,COUNTIF($J$1:J401,1),"")</f>
        <v/>
      </c>
      <c r="L401" s="30" t="str">
        <f>IFERROR(INDEX($I$1:$I$500,MATCH(ROWS($K$1:K401),$K$1:$K$500,0)),"")</f>
        <v/>
      </c>
    </row>
    <row r="402" spans="10:12" x14ac:dyDescent="0.25">
      <c r="J402" s="30">
        <f>--ISNUMBER(IFERROR(SEARCH(Quote!$G$1,I402,1),""))</f>
        <v>0</v>
      </c>
      <c r="K402" s="30" t="str">
        <f>IF(J402=1,COUNTIF($J$1:J402,1),"")</f>
        <v/>
      </c>
      <c r="L402" s="30" t="str">
        <f>IFERROR(INDEX($I$1:$I$500,MATCH(ROWS($K$1:K402),$K$1:$K$500,0)),"")</f>
        <v/>
      </c>
    </row>
    <row r="403" spans="10:12" x14ac:dyDescent="0.25">
      <c r="J403" s="30">
        <f>--ISNUMBER(IFERROR(SEARCH(Quote!$G$1,I403,1),""))</f>
        <v>0</v>
      </c>
      <c r="K403" s="30" t="str">
        <f>IF(J403=1,COUNTIF($J$1:J403,1),"")</f>
        <v/>
      </c>
      <c r="L403" s="30" t="str">
        <f>IFERROR(INDEX($I$1:$I$500,MATCH(ROWS($K$1:K403),$K$1:$K$500,0)),"")</f>
        <v/>
      </c>
    </row>
    <row r="404" spans="10:12" x14ac:dyDescent="0.25">
      <c r="J404" s="30">
        <f>--ISNUMBER(IFERROR(SEARCH(Quote!$G$1,I404,1),""))</f>
        <v>0</v>
      </c>
      <c r="K404" s="30" t="str">
        <f>IF(J404=1,COUNTIF($J$1:J404,1),"")</f>
        <v/>
      </c>
      <c r="L404" s="30" t="str">
        <f>IFERROR(INDEX($I$1:$I$500,MATCH(ROWS($K$1:K404),$K$1:$K$500,0)),"")</f>
        <v/>
      </c>
    </row>
    <row r="405" spans="10:12" x14ac:dyDescent="0.25">
      <c r="J405" s="30">
        <f>--ISNUMBER(IFERROR(SEARCH(Quote!$G$1,I405,1),""))</f>
        <v>0</v>
      </c>
      <c r="K405" s="30" t="str">
        <f>IF(J405=1,COUNTIF($J$1:J405,1),"")</f>
        <v/>
      </c>
      <c r="L405" s="30" t="str">
        <f>IFERROR(INDEX($I$1:$I$500,MATCH(ROWS($K$1:K405),$K$1:$K$500,0)),"")</f>
        <v/>
      </c>
    </row>
    <row r="406" spans="10:12" x14ac:dyDescent="0.25">
      <c r="J406" s="30">
        <f>--ISNUMBER(IFERROR(SEARCH(Quote!$G$1,I406,1),""))</f>
        <v>0</v>
      </c>
      <c r="K406" s="30" t="str">
        <f>IF(J406=1,COUNTIF($J$1:J406,1),"")</f>
        <v/>
      </c>
      <c r="L406" s="30" t="str">
        <f>IFERROR(INDEX($I$1:$I$500,MATCH(ROWS($K$1:K406),$K$1:$K$500,0)),"")</f>
        <v/>
      </c>
    </row>
    <row r="407" spans="10:12" x14ac:dyDescent="0.25">
      <c r="J407" s="30">
        <f>--ISNUMBER(IFERROR(SEARCH(Quote!$G$1,I407,1),""))</f>
        <v>0</v>
      </c>
      <c r="K407" s="30" t="str">
        <f>IF(J407=1,COUNTIF($J$1:J407,1),"")</f>
        <v/>
      </c>
      <c r="L407" s="30" t="str">
        <f>IFERROR(INDEX($I$1:$I$500,MATCH(ROWS($K$1:K407),$K$1:$K$500,0)),"")</f>
        <v/>
      </c>
    </row>
    <row r="408" spans="10:12" x14ac:dyDescent="0.25">
      <c r="J408" s="30">
        <f>--ISNUMBER(IFERROR(SEARCH(Quote!$G$1,I408,1),""))</f>
        <v>0</v>
      </c>
      <c r="K408" s="30" t="str">
        <f>IF(J408=1,COUNTIF($J$1:J408,1),"")</f>
        <v/>
      </c>
      <c r="L408" s="30" t="str">
        <f>IFERROR(INDEX($I$1:$I$500,MATCH(ROWS($K$1:K408),$K$1:$K$500,0)),"")</f>
        <v/>
      </c>
    </row>
    <row r="409" spans="10:12" x14ac:dyDescent="0.25">
      <c r="J409" s="30">
        <f>--ISNUMBER(IFERROR(SEARCH(Quote!$G$1,I409,1),""))</f>
        <v>0</v>
      </c>
      <c r="K409" s="30" t="str">
        <f>IF(J409=1,COUNTIF($J$1:J409,1),"")</f>
        <v/>
      </c>
      <c r="L409" s="30" t="str">
        <f>IFERROR(INDEX($I$1:$I$500,MATCH(ROWS($K$1:K409),$K$1:$K$500,0)),"")</f>
        <v/>
      </c>
    </row>
    <row r="410" spans="10:12" x14ac:dyDescent="0.25">
      <c r="J410" s="30">
        <f>--ISNUMBER(IFERROR(SEARCH(Quote!$G$1,I410,1),""))</f>
        <v>0</v>
      </c>
      <c r="K410" s="30" t="str">
        <f>IF(J410=1,COUNTIF($J$1:J410,1),"")</f>
        <v/>
      </c>
      <c r="L410" s="30" t="str">
        <f>IFERROR(INDEX($I$1:$I$500,MATCH(ROWS($K$1:K410),$K$1:$K$500,0)),"")</f>
        <v/>
      </c>
    </row>
    <row r="411" spans="10:12" x14ac:dyDescent="0.25">
      <c r="J411" s="30">
        <f>--ISNUMBER(IFERROR(SEARCH(Quote!$G$1,I411,1),""))</f>
        <v>0</v>
      </c>
      <c r="K411" s="30" t="str">
        <f>IF(J411=1,COUNTIF($J$1:J411,1),"")</f>
        <v/>
      </c>
      <c r="L411" s="30" t="str">
        <f>IFERROR(INDEX($I$1:$I$500,MATCH(ROWS($K$1:K411),$K$1:$K$500,0)),"")</f>
        <v/>
      </c>
    </row>
    <row r="412" spans="10:12" x14ac:dyDescent="0.25">
      <c r="J412" s="30">
        <f>--ISNUMBER(IFERROR(SEARCH(Quote!$G$1,I412,1),""))</f>
        <v>0</v>
      </c>
      <c r="K412" s="30" t="str">
        <f>IF(J412=1,COUNTIF($J$1:J412,1),"")</f>
        <v/>
      </c>
      <c r="L412" s="30" t="str">
        <f>IFERROR(INDEX($I$1:$I$500,MATCH(ROWS($K$1:K412),$K$1:$K$500,0)),"")</f>
        <v/>
      </c>
    </row>
    <row r="413" spans="10:12" x14ac:dyDescent="0.25">
      <c r="J413" s="30">
        <f>--ISNUMBER(IFERROR(SEARCH(Quote!$G$1,I413,1),""))</f>
        <v>0</v>
      </c>
      <c r="K413" s="30" t="str">
        <f>IF(J413=1,COUNTIF($J$1:J413,1),"")</f>
        <v/>
      </c>
      <c r="L413" s="30" t="str">
        <f>IFERROR(INDEX($I$1:$I$500,MATCH(ROWS($K$1:K413),$K$1:$K$500,0)),"")</f>
        <v/>
      </c>
    </row>
    <row r="414" spans="10:12" x14ac:dyDescent="0.25">
      <c r="J414" s="30">
        <f>--ISNUMBER(IFERROR(SEARCH(Quote!$G$1,I414,1),""))</f>
        <v>0</v>
      </c>
      <c r="K414" s="30" t="str">
        <f>IF(J414=1,COUNTIF($J$1:J414,1),"")</f>
        <v/>
      </c>
      <c r="L414" s="30" t="str">
        <f>IFERROR(INDEX($I$1:$I$500,MATCH(ROWS($K$1:K414),$K$1:$K$500,0)),"")</f>
        <v/>
      </c>
    </row>
    <row r="415" spans="10:12" x14ac:dyDescent="0.25">
      <c r="J415" s="30">
        <f>--ISNUMBER(IFERROR(SEARCH(Quote!$G$1,I415,1),""))</f>
        <v>0</v>
      </c>
      <c r="K415" s="30" t="str">
        <f>IF(J415=1,COUNTIF($J$1:J415,1),"")</f>
        <v/>
      </c>
      <c r="L415" s="30" t="str">
        <f>IFERROR(INDEX($I$1:$I$500,MATCH(ROWS($K$1:K415),$K$1:$K$500,0)),"")</f>
        <v/>
      </c>
    </row>
    <row r="416" spans="10:12" x14ac:dyDescent="0.25">
      <c r="J416" s="30">
        <f>--ISNUMBER(IFERROR(SEARCH(Quote!$G$1,I416,1),""))</f>
        <v>0</v>
      </c>
      <c r="K416" s="30" t="str">
        <f>IF(J416=1,COUNTIF($J$1:J416,1),"")</f>
        <v/>
      </c>
      <c r="L416" s="30" t="str">
        <f>IFERROR(INDEX($I$1:$I$500,MATCH(ROWS($K$1:K416),$K$1:$K$500,0)),"")</f>
        <v/>
      </c>
    </row>
    <row r="417" spans="10:12" x14ac:dyDescent="0.25">
      <c r="J417" s="30">
        <f>--ISNUMBER(IFERROR(SEARCH(Quote!$G$1,I417,1),""))</f>
        <v>0</v>
      </c>
      <c r="K417" s="30" t="str">
        <f>IF(J417=1,COUNTIF($J$1:J417,1),"")</f>
        <v/>
      </c>
      <c r="L417" s="30" t="str">
        <f>IFERROR(INDEX($I$1:$I$500,MATCH(ROWS($K$1:K417),$K$1:$K$500,0)),"")</f>
        <v/>
      </c>
    </row>
    <row r="418" spans="10:12" x14ac:dyDescent="0.25">
      <c r="J418" s="30">
        <f>--ISNUMBER(IFERROR(SEARCH(Quote!$G$1,I418,1),""))</f>
        <v>0</v>
      </c>
      <c r="K418" s="30" t="str">
        <f>IF(J418=1,COUNTIF($J$1:J418,1),"")</f>
        <v/>
      </c>
      <c r="L418" s="30" t="str">
        <f>IFERROR(INDEX($I$1:$I$500,MATCH(ROWS($K$1:K418),$K$1:$K$500,0)),"")</f>
        <v/>
      </c>
    </row>
    <row r="419" spans="10:12" x14ac:dyDescent="0.25">
      <c r="J419" s="30">
        <f>--ISNUMBER(IFERROR(SEARCH(Quote!$G$1,I419,1),""))</f>
        <v>0</v>
      </c>
      <c r="K419" s="30" t="str">
        <f>IF(J419=1,COUNTIF($J$1:J419,1),"")</f>
        <v/>
      </c>
      <c r="L419" s="30" t="str">
        <f>IFERROR(INDEX($I$1:$I$500,MATCH(ROWS($K$1:K419),$K$1:$K$500,0)),"")</f>
        <v/>
      </c>
    </row>
    <row r="420" spans="10:12" x14ac:dyDescent="0.25">
      <c r="J420" s="30">
        <f>--ISNUMBER(IFERROR(SEARCH(Quote!$G$1,I420,1),""))</f>
        <v>0</v>
      </c>
      <c r="K420" s="30" t="str">
        <f>IF(J420=1,COUNTIF($J$1:J420,1),"")</f>
        <v/>
      </c>
      <c r="L420" s="30" t="str">
        <f>IFERROR(INDEX($I$1:$I$500,MATCH(ROWS($K$1:K420),$K$1:$K$500,0)),"")</f>
        <v/>
      </c>
    </row>
    <row r="421" spans="10:12" x14ac:dyDescent="0.25">
      <c r="J421" s="30">
        <f>--ISNUMBER(IFERROR(SEARCH(Quote!$G$1,I421,1),""))</f>
        <v>0</v>
      </c>
      <c r="K421" s="30" t="str">
        <f>IF(J421=1,COUNTIF($J$1:J421,1),"")</f>
        <v/>
      </c>
      <c r="L421" s="30" t="str">
        <f>IFERROR(INDEX($I$1:$I$500,MATCH(ROWS($K$1:K421),$K$1:$K$500,0)),"")</f>
        <v/>
      </c>
    </row>
    <row r="422" spans="10:12" x14ac:dyDescent="0.25">
      <c r="J422" s="30">
        <f>--ISNUMBER(IFERROR(SEARCH(Quote!$G$1,I422,1),""))</f>
        <v>0</v>
      </c>
      <c r="K422" s="30" t="str">
        <f>IF(J422=1,COUNTIF($J$1:J422,1),"")</f>
        <v/>
      </c>
      <c r="L422" s="30" t="str">
        <f>IFERROR(INDEX($I$1:$I$500,MATCH(ROWS($K$1:K422),$K$1:$K$500,0)),"")</f>
        <v/>
      </c>
    </row>
    <row r="423" spans="10:12" x14ac:dyDescent="0.25">
      <c r="J423" s="30">
        <f>--ISNUMBER(IFERROR(SEARCH(Quote!$G$1,I423,1),""))</f>
        <v>0</v>
      </c>
      <c r="K423" s="30" t="str">
        <f>IF(J423=1,COUNTIF($J$1:J423,1),"")</f>
        <v/>
      </c>
      <c r="L423" s="30" t="str">
        <f>IFERROR(INDEX($I$1:$I$500,MATCH(ROWS($K$1:K423),$K$1:$K$500,0)),"")</f>
        <v/>
      </c>
    </row>
    <row r="424" spans="10:12" x14ac:dyDescent="0.25">
      <c r="J424" s="30">
        <f>--ISNUMBER(IFERROR(SEARCH(Quote!$G$1,I424,1),""))</f>
        <v>0</v>
      </c>
      <c r="K424" s="30" t="str">
        <f>IF(J424=1,COUNTIF($J$1:J424,1),"")</f>
        <v/>
      </c>
      <c r="L424" s="30" t="str">
        <f>IFERROR(INDEX($I$1:$I$500,MATCH(ROWS($K$1:K424),$K$1:$K$500,0)),"")</f>
        <v/>
      </c>
    </row>
    <row r="425" spans="10:12" x14ac:dyDescent="0.25">
      <c r="J425" s="30">
        <f>--ISNUMBER(IFERROR(SEARCH(Quote!$G$1,I425,1),""))</f>
        <v>0</v>
      </c>
      <c r="K425" s="30" t="str">
        <f>IF(J425=1,COUNTIF($J$1:J425,1),"")</f>
        <v/>
      </c>
      <c r="L425" s="30" t="str">
        <f>IFERROR(INDEX($I$1:$I$500,MATCH(ROWS($K$1:K425),$K$1:$K$500,0)),"")</f>
        <v/>
      </c>
    </row>
    <row r="426" spans="10:12" x14ac:dyDescent="0.25">
      <c r="J426" s="30">
        <f>--ISNUMBER(IFERROR(SEARCH(Quote!$G$1,I426,1),""))</f>
        <v>0</v>
      </c>
      <c r="K426" s="30" t="str">
        <f>IF(J426=1,COUNTIF($J$1:J426,1),"")</f>
        <v/>
      </c>
      <c r="L426" s="30" t="str">
        <f>IFERROR(INDEX($I$1:$I$500,MATCH(ROWS($K$1:K426),$K$1:$K$500,0)),"")</f>
        <v/>
      </c>
    </row>
    <row r="427" spans="10:12" x14ac:dyDescent="0.25">
      <c r="J427" s="30">
        <f>--ISNUMBER(IFERROR(SEARCH(Quote!$G$1,I427,1),""))</f>
        <v>0</v>
      </c>
      <c r="K427" s="30" t="str">
        <f>IF(J427=1,COUNTIF($J$1:J427,1),"")</f>
        <v/>
      </c>
      <c r="L427" s="30" t="str">
        <f>IFERROR(INDEX($I$1:$I$500,MATCH(ROWS($K$1:K427),$K$1:$K$500,0)),"")</f>
        <v/>
      </c>
    </row>
    <row r="428" spans="10:12" x14ac:dyDescent="0.25">
      <c r="J428" s="30">
        <f>--ISNUMBER(IFERROR(SEARCH(Quote!$G$1,I428,1),""))</f>
        <v>0</v>
      </c>
      <c r="K428" s="30" t="str">
        <f>IF(J428=1,COUNTIF($J$1:J428,1),"")</f>
        <v/>
      </c>
      <c r="L428" s="30" t="str">
        <f>IFERROR(INDEX($I$1:$I$500,MATCH(ROWS($K$1:K428),$K$1:$K$500,0)),"")</f>
        <v/>
      </c>
    </row>
    <row r="429" spans="10:12" x14ac:dyDescent="0.25">
      <c r="J429" s="30">
        <f>--ISNUMBER(IFERROR(SEARCH(Quote!$G$1,I429,1),""))</f>
        <v>0</v>
      </c>
      <c r="K429" s="30" t="str">
        <f>IF(J429=1,COUNTIF($J$1:J429,1),"")</f>
        <v/>
      </c>
      <c r="L429" s="30" t="str">
        <f>IFERROR(INDEX($I$1:$I$500,MATCH(ROWS($K$1:K429),$K$1:$K$500,0)),"")</f>
        <v/>
      </c>
    </row>
    <row r="430" spans="10:12" x14ac:dyDescent="0.25">
      <c r="J430" s="30">
        <f>--ISNUMBER(IFERROR(SEARCH(Quote!$G$1,I430,1),""))</f>
        <v>0</v>
      </c>
      <c r="K430" s="30" t="str">
        <f>IF(J430=1,COUNTIF($J$1:J430,1),"")</f>
        <v/>
      </c>
      <c r="L430" s="30" t="str">
        <f>IFERROR(INDEX($I$1:$I$500,MATCH(ROWS($K$1:K430),$K$1:$K$500,0)),"")</f>
        <v/>
      </c>
    </row>
    <row r="431" spans="10:12" x14ac:dyDescent="0.25">
      <c r="J431" s="30">
        <f>--ISNUMBER(IFERROR(SEARCH(Quote!$G$1,I431,1),""))</f>
        <v>0</v>
      </c>
      <c r="K431" s="30" t="str">
        <f>IF(J431=1,COUNTIF($J$1:J431,1),"")</f>
        <v/>
      </c>
      <c r="L431" s="30" t="str">
        <f>IFERROR(INDEX($I$1:$I$500,MATCH(ROWS($K$1:K431),$K$1:$K$500,0)),"")</f>
        <v/>
      </c>
    </row>
    <row r="432" spans="10:12" x14ac:dyDescent="0.25">
      <c r="J432" s="30">
        <f>--ISNUMBER(IFERROR(SEARCH(Quote!$G$1,I432,1),""))</f>
        <v>0</v>
      </c>
      <c r="K432" s="30" t="str">
        <f>IF(J432=1,COUNTIF($J$1:J432,1),"")</f>
        <v/>
      </c>
      <c r="L432" s="30" t="str">
        <f>IFERROR(INDEX($I$1:$I$500,MATCH(ROWS($K$1:K432),$K$1:$K$500,0)),"")</f>
        <v/>
      </c>
    </row>
    <row r="433" spans="10:12" x14ac:dyDescent="0.25">
      <c r="J433" s="30">
        <f>--ISNUMBER(IFERROR(SEARCH(Quote!$G$1,I433,1),""))</f>
        <v>0</v>
      </c>
      <c r="K433" s="30" t="str">
        <f>IF(J433=1,COUNTIF($J$1:J433,1),"")</f>
        <v/>
      </c>
      <c r="L433" s="30" t="str">
        <f>IFERROR(INDEX($I$1:$I$500,MATCH(ROWS($K$1:K433),$K$1:$K$500,0)),"")</f>
        <v/>
      </c>
    </row>
    <row r="434" spans="10:12" x14ac:dyDescent="0.25">
      <c r="J434" s="30">
        <f>--ISNUMBER(IFERROR(SEARCH(Quote!$G$1,I434,1),""))</f>
        <v>0</v>
      </c>
      <c r="K434" s="30" t="str">
        <f>IF(J434=1,COUNTIF($J$1:J434,1),"")</f>
        <v/>
      </c>
      <c r="L434" s="30" t="str">
        <f>IFERROR(INDEX($I$1:$I$500,MATCH(ROWS($K$1:K434),$K$1:$K$500,0)),"")</f>
        <v/>
      </c>
    </row>
    <row r="435" spans="10:12" x14ac:dyDescent="0.25">
      <c r="J435" s="30">
        <f>--ISNUMBER(IFERROR(SEARCH(Quote!$G$1,I435,1),""))</f>
        <v>0</v>
      </c>
      <c r="K435" s="30" t="str">
        <f>IF(J435=1,COUNTIF($J$1:J435,1),"")</f>
        <v/>
      </c>
      <c r="L435" s="30" t="str">
        <f>IFERROR(INDEX($I$1:$I$500,MATCH(ROWS($K$1:K435),$K$1:$K$500,0)),"")</f>
        <v/>
      </c>
    </row>
    <row r="436" spans="10:12" x14ac:dyDescent="0.25">
      <c r="J436" s="30">
        <f>--ISNUMBER(IFERROR(SEARCH(Quote!$G$1,I436,1),""))</f>
        <v>0</v>
      </c>
      <c r="K436" s="30" t="str">
        <f>IF(J436=1,COUNTIF($J$1:J436,1),"")</f>
        <v/>
      </c>
      <c r="L436" s="30" t="str">
        <f>IFERROR(INDEX($I$1:$I$500,MATCH(ROWS($K$1:K436),$K$1:$K$500,0)),"")</f>
        <v/>
      </c>
    </row>
    <row r="437" spans="10:12" x14ac:dyDescent="0.25">
      <c r="J437" s="30">
        <f>--ISNUMBER(IFERROR(SEARCH(Quote!$G$1,I437,1),""))</f>
        <v>0</v>
      </c>
      <c r="K437" s="30" t="str">
        <f>IF(J437=1,COUNTIF($J$1:J437,1),"")</f>
        <v/>
      </c>
      <c r="L437" s="30" t="str">
        <f>IFERROR(INDEX($I$1:$I$500,MATCH(ROWS($K$1:K437),$K$1:$K$500,0)),"")</f>
        <v/>
      </c>
    </row>
    <row r="438" spans="10:12" x14ac:dyDescent="0.25">
      <c r="J438" s="30">
        <f>--ISNUMBER(IFERROR(SEARCH(Quote!$G$1,I438,1),""))</f>
        <v>0</v>
      </c>
      <c r="K438" s="30" t="str">
        <f>IF(J438=1,COUNTIF($J$1:J438,1),"")</f>
        <v/>
      </c>
      <c r="L438" s="30" t="str">
        <f>IFERROR(INDEX($I$1:$I$500,MATCH(ROWS($K$1:K438),$K$1:$K$500,0)),"")</f>
        <v/>
      </c>
    </row>
    <row r="439" spans="10:12" x14ac:dyDescent="0.25">
      <c r="J439" s="30">
        <f>--ISNUMBER(IFERROR(SEARCH(Quote!$G$1,I439,1),""))</f>
        <v>0</v>
      </c>
      <c r="K439" s="30" t="str">
        <f>IF(J439=1,COUNTIF($J$1:J439,1),"")</f>
        <v/>
      </c>
      <c r="L439" s="30" t="str">
        <f>IFERROR(INDEX($I$1:$I$500,MATCH(ROWS($K$1:K439),$K$1:$K$500,0)),"")</f>
        <v/>
      </c>
    </row>
    <row r="440" spans="10:12" x14ac:dyDescent="0.25">
      <c r="J440" s="30">
        <f>--ISNUMBER(IFERROR(SEARCH(Quote!$G$1,I440,1),""))</f>
        <v>0</v>
      </c>
      <c r="K440" s="30" t="str">
        <f>IF(J440=1,COUNTIF($J$1:J440,1),"")</f>
        <v/>
      </c>
      <c r="L440" s="30" t="str">
        <f>IFERROR(INDEX($I$1:$I$500,MATCH(ROWS($K$1:K440),$K$1:$K$500,0)),"")</f>
        <v/>
      </c>
    </row>
    <row r="441" spans="10:12" x14ac:dyDescent="0.25">
      <c r="J441" s="30">
        <f>--ISNUMBER(IFERROR(SEARCH(Quote!$G$1,I441,1),""))</f>
        <v>0</v>
      </c>
      <c r="K441" s="30" t="str">
        <f>IF(J441=1,COUNTIF($J$1:J441,1),"")</f>
        <v/>
      </c>
      <c r="L441" s="30" t="str">
        <f>IFERROR(INDEX($I$1:$I$500,MATCH(ROWS($K$1:K441),$K$1:$K$500,0)),"")</f>
        <v/>
      </c>
    </row>
    <row r="442" spans="10:12" x14ac:dyDescent="0.25">
      <c r="J442" s="30">
        <f>--ISNUMBER(IFERROR(SEARCH(Quote!$G$1,I442,1),""))</f>
        <v>0</v>
      </c>
      <c r="K442" s="30" t="str">
        <f>IF(J442=1,COUNTIF($J$1:J442,1),"")</f>
        <v/>
      </c>
      <c r="L442" s="30" t="str">
        <f>IFERROR(INDEX($I$1:$I$500,MATCH(ROWS($K$1:K442),$K$1:$K$500,0)),"")</f>
        <v/>
      </c>
    </row>
    <row r="443" spans="10:12" x14ac:dyDescent="0.25">
      <c r="J443" s="30">
        <f>--ISNUMBER(IFERROR(SEARCH(Quote!$G$1,I443,1),""))</f>
        <v>0</v>
      </c>
      <c r="K443" s="30" t="str">
        <f>IF(J443=1,COUNTIF($J$1:J443,1),"")</f>
        <v/>
      </c>
      <c r="L443" s="30" t="str">
        <f>IFERROR(INDEX($I$1:$I$500,MATCH(ROWS($K$1:K443),$K$1:$K$500,0)),"")</f>
        <v/>
      </c>
    </row>
    <row r="444" spans="10:12" x14ac:dyDescent="0.25">
      <c r="J444" s="30">
        <f>--ISNUMBER(IFERROR(SEARCH(Quote!$G$1,I444,1),""))</f>
        <v>0</v>
      </c>
      <c r="K444" s="30" t="str">
        <f>IF(J444=1,COUNTIF($J$1:J444,1),"")</f>
        <v/>
      </c>
      <c r="L444" s="30" t="str">
        <f>IFERROR(INDEX($I$1:$I$500,MATCH(ROWS($K$1:K444),$K$1:$K$500,0)),"")</f>
        <v/>
      </c>
    </row>
    <row r="445" spans="10:12" x14ac:dyDescent="0.25">
      <c r="J445" s="30">
        <f>--ISNUMBER(IFERROR(SEARCH(Quote!$G$1,I445,1),""))</f>
        <v>0</v>
      </c>
      <c r="K445" s="30" t="str">
        <f>IF(J445=1,COUNTIF($J$1:J445,1),"")</f>
        <v/>
      </c>
      <c r="L445" s="30" t="str">
        <f>IFERROR(INDEX($I$1:$I$500,MATCH(ROWS($K$1:K445),$K$1:$K$500,0)),"")</f>
        <v/>
      </c>
    </row>
    <row r="446" spans="10:12" x14ac:dyDescent="0.25">
      <c r="J446" s="30">
        <f>--ISNUMBER(IFERROR(SEARCH(Quote!$G$1,I446,1),""))</f>
        <v>0</v>
      </c>
      <c r="K446" s="30" t="str">
        <f>IF(J446=1,COUNTIF($J$1:J446,1),"")</f>
        <v/>
      </c>
      <c r="L446" s="30" t="str">
        <f>IFERROR(INDEX($I$1:$I$500,MATCH(ROWS($K$1:K446),$K$1:$K$500,0)),"")</f>
        <v/>
      </c>
    </row>
    <row r="447" spans="10:12" x14ac:dyDescent="0.25">
      <c r="J447" s="30">
        <f>--ISNUMBER(IFERROR(SEARCH(Quote!$G$1,I447,1),""))</f>
        <v>0</v>
      </c>
      <c r="K447" s="30" t="str">
        <f>IF(J447=1,COUNTIF($J$1:J447,1),"")</f>
        <v/>
      </c>
      <c r="L447" s="30" t="str">
        <f>IFERROR(INDEX($I$1:$I$500,MATCH(ROWS($K$1:K447),$K$1:$K$500,0)),"")</f>
        <v/>
      </c>
    </row>
    <row r="448" spans="10:12" x14ac:dyDescent="0.25">
      <c r="J448" s="30">
        <f>--ISNUMBER(IFERROR(SEARCH(Quote!$G$1,I448,1),""))</f>
        <v>0</v>
      </c>
      <c r="K448" s="30" t="str">
        <f>IF(J448=1,COUNTIF($J$1:J448,1),"")</f>
        <v/>
      </c>
      <c r="L448" s="30" t="str">
        <f>IFERROR(INDEX($I$1:$I$500,MATCH(ROWS($K$1:K448),$K$1:$K$500,0)),"")</f>
        <v/>
      </c>
    </row>
    <row r="449" spans="10:12" x14ac:dyDescent="0.25">
      <c r="J449" s="30">
        <f>--ISNUMBER(IFERROR(SEARCH(Quote!$G$1,I449,1),""))</f>
        <v>0</v>
      </c>
      <c r="K449" s="30" t="str">
        <f>IF(J449=1,COUNTIF($J$1:J449,1),"")</f>
        <v/>
      </c>
      <c r="L449" s="30" t="str">
        <f>IFERROR(INDEX($I$1:$I$500,MATCH(ROWS($K$1:K449),$K$1:$K$500,0)),"")</f>
        <v/>
      </c>
    </row>
    <row r="450" spans="10:12" x14ac:dyDescent="0.25">
      <c r="J450" s="30">
        <f>--ISNUMBER(IFERROR(SEARCH(Quote!$G$1,I450,1),""))</f>
        <v>0</v>
      </c>
      <c r="K450" s="30" t="str">
        <f>IF(J450=1,COUNTIF($J$1:J450,1),"")</f>
        <v/>
      </c>
      <c r="L450" s="30" t="str">
        <f>IFERROR(INDEX($I$1:$I$500,MATCH(ROWS($K$1:K450),$K$1:$K$500,0)),"")</f>
        <v/>
      </c>
    </row>
    <row r="451" spans="10:12" x14ac:dyDescent="0.25">
      <c r="J451" s="30">
        <f>--ISNUMBER(IFERROR(SEARCH(Quote!$G$1,I451,1),""))</f>
        <v>0</v>
      </c>
      <c r="K451" s="30" t="str">
        <f>IF(J451=1,COUNTIF($J$1:J451,1),"")</f>
        <v/>
      </c>
      <c r="L451" s="30" t="str">
        <f>IFERROR(INDEX($I$1:$I$500,MATCH(ROWS($K$1:K451),$K$1:$K$500,0)),"")</f>
        <v/>
      </c>
    </row>
    <row r="452" spans="10:12" x14ac:dyDescent="0.25">
      <c r="J452" s="30">
        <f>--ISNUMBER(IFERROR(SEARCH(Quote!$G$1,I452,1),""))</f>
        <v>0</v>
      </c>
      <c r="K452" s="30" t="str">
        <f>IF(J452=1,COUNTIF($J$1:J452,1),"")</f>
        <v/>
      </c>
      <c r="L452" s="30" t="str">
        <f>IFERROR(INDEX($I$1:$I$500,MATCH(ROWS($K$1:K452),$K$1:$K$500,0)),"")</f>
        <v/>
      </c>
    </row>
    <row r="453" spans="10:12" x14ac:dyDescent="0.25">
      <c r="J453" s="30">
        <f>--ISNUMBER(IFERROR(SEARCH(Quote!$G$1,I453,1),""))</f>
        <v>0</v>
      </c>
      <c r="K453" s="30" t="str">
        <f>IF(J453=1,COUNTIF($J$1:J453,1),"")</f>
        <v/>
      </c>
      <c r="L453" s="30" t="str">
        <f>IFERROR(INDEX($I$1:$I$500,MATCH(ROWS($K$1:K453),$K$1:$K$500,0)),"")</f>
        <v/>
      </c>
    </row>
    <row r="454" spans="10:12" x14ac:dyDescent="0.25">
      <c r="J454" s="30">
        <f>--ISNUMBER(IFERROR(SEARCH(Quote!$G$1,I454,1),""))</f>
        <v>0</v>
      </c>
      <c r="K454" s="30" t="str">
        <f>IF(J454=1,COUNTIF($J$1:J454,1),"")</f>
        <v/>
      </c>
      <c r="L454" s="30" t="str">
        <f>IFERROR(INDEX($I$1:$I$500,MATCH(ROWS($K$1:K454),$K$1:$K$500,0)),"")</f>
        <v/>
      </c>
    </row>
    <row r="455" spans="10:12" x14ac:dyDescent="0.25">
      <c r="J455" s="30">
        <f>--ISNUMBER(IFERROR(SEARCH(Quote!$G$1,I455,1),""))</f>
        <v>0</v>
      </c>
      <c r="K455" s="30" t="str">
        <f>IF(J455=1,COUNTIF($J$1:J455,1),"")</f>
        <v/>
      </c>
      <c r="L455" s="30" t="str">
        <f>IFERROR(INDEX($I$1:$I$500,MATCH(ROWS($K$1:K455),$K$1:$K$500,0)),"")</f>
        <v/>
      </c>
    </row>
    <row r="456" spans="10:12" x14ac:dyDescent="0.25">
      <c r="J456" s="30">
        <f>--ISNUMBER(IFERROR(SEARCH(Quote!$G$1,I456,1),""))</f>
        <v>0</v>
      </c>
      <c r="K456" s="30" t="str">
        <f>IF(J456=1,COUNTIF($J$1:J456,1),"")</f>
        <v/>
      </c>
      <c r="L456" s="30" t="str">
        <f>IFERROR(INDEX($I$1:$I$500,MATCH(ROWS($K$1:K456),$K$1:$K$500,0)),"")</f>
        <v/>
      </c>
    </row>
    <row r="457" spans="10:12" x14ac:dyDescent="0.25">
      <c r="J457" s="30">
        <f>--ISNUMBER(IFERROR(SEARCH(Quote!$G$1,I457,1),""))</f>
        <v>0</v>
      </c>
      <c r="K457" s="30" t="str">
        <f>IF(J457=1,COUNTIF($J$1:J457,1),"")</f>
        <v/>
      </c>
      <c r="L457" s="30" t="str">
        <f>IFERROR(INDEX($I$1:$I$500,MATCH(ROWS($K$1:K457),$K$1:$K$500,0)),"")</f>
        <v/>
      </c>
    </row>
    <row r="458" spans="10:12" x14ac:dyDescent="0.25">
      <c r="J458" s="30">
        <f>--ISNUMBER(IFERROR(SEARCH(Quote!$G$1,I458,1),""))</f>
        <v>0</v>
      </c>
      <c r="K458" s="30" t="str">
        <f>IF(J458=1,COUNTIF($J$1:J458,1),"")</f>
        <v/>
      </c>
      <c r="L458" s="30" t="str">
        <f>IFERROR(INDEX($I$1:$I$500,MATCH(ROWS($K$1:K458),$K$1:$K$500,0)),"")</f>
        <v/>
      </c>
    </row>
    <row r="459" spans="10:12" x14ac:dyDescent="0.25">
      <c r="J459" s="30">
        <f>--ISNUMBER(IFERROR(SEARCH(Quote!$G$1,I459,1),""))</f>
        <v>0</v>
      </c>
      <c r="K459" s="30" t="str">
        <f>IF(J459=1,COUNTIF($J$1:J459,1),"")</f>
        <v/>
      </c>
      <c r="L459" s="30" t="str">
        <f>IFERROR(INDEX($I$1:$I$500,MATCH(ROWS($K$1:K459),$K$1:$K$500,0)),"")</f>
        <v/>
      </c>
    </row>
    <row r="460" spans="10:12" x14ac:dyDescent="0.25">
      <c r="J460" s="30">
        <f>--ISNUMBER(IFERROR(SEARCH(Quote!$G$1,I460,1),""))</f>
        <v>0</v>
      </c>
      <c r="K460" s="30" t="str">
        <f>IF(J460=1,COUNTIF($J$1:J460,1),"")</f>
        <v/>
      </c>
      <c r="L460" s="30" t="str">
        <f>IFERROR(INDEX($I$1:$I$500,MATCH(ROWS($K$1:K460),$K$1:$K$500,0)),"")</f>
        <v/>
      </c>
    </row>
    <row r="461" spans="10:12" x14ac:dyDescent="0.25">
      <c r="J461" s="30">
        <f>--ISNUMBER(IFERROR(SEARCH(Quote!$G$1,I461,1),""))</f>
        <v>0</v>
      </c>
      <c r="K461" s="30" t="str">
        <f>IF(J461=1,COUNTIF($J$1:J461,1),"")</f>
        <v/>
      </c>
      <c r="L461" s="30" t="str">
        <f>IFERROR(INDEX($I$1:$I$500,MATCH(ROWS($K$1:K461),$K$1:$K$500,0)),"")</f>
        <v/>
      </c>
    </row>
    <row r="462" spans="10:12" x14ac:dyDescent="0.25">
      <c r="J462" s="30">
        <f>--ISNUMBER(IFERROR(SEARCH(Quote!$G$1,I462,1),""))</f>
        <v>0</v>
      </c>
      <c r="K462" s="30" t="str">
        <f>IF(J462=1,COUNTIF($J$1:J462,1),"")</f>
        <v/>
      </c>
      <c r="L462" s="30" t="str">
        <f>IFERROR(INDEX($I$1:$I$500,MATCH(ROWS($K$1:K462),$K$1:$K$500,0)),"")</f>
        <v/>
      </c>
    </row>
    <row r="463" spans="10:12" x14ac:dyDescent="0.25">
      <c r="J463" s="30">
        <f>--ISNUMBER(IFERROR(SEARCH(Quote!$G$1,I463,1),""))</f>
        <v>0</v>
      </c>
      <c r="K463" s="30" t="str">
        <f>IF(J463=1,COUNTIF($J$1:J463,1),"")</f>
        <v/>
      </c>
      <c r="L463" s="30" t="str">
        <f>IFERROR(INDEX($I$1:$I$500,MATCH(ROWS($K$1:K463),$K$1:$K$500,0)),"")</f>
        <v/>
      </c>
    </row>
    <row r="464" spans="10:12" x14ac:dyDescent="0.25">
      <c r="J464" s="30">
        <f>--ISNUMBER(IFERROR(SEARCH(Quote!$G$1,I464,1),""))</f>
        <v>0</v>
      </c>
      <c r="K464" s="30" t="str">
        <f>IF(J464=1,COUNTIF($J$1:J464,1),"")</f>
        <v/>
      </c>
      <c r="L464" s="30" t="str">
        <f>IFERROR(INDEX($I$1:$I$500,MATCH(ROWS($K$1:K464),$K$1:$K$500,0)),"")</f>
        <v/>
      </c>
    </row>
    <row r="465" spans="10:12" x14ac:dyDescent="0.25">
      <c r="J465" s="30">
        <f>--ISNUMBER(IFERROR(SEARCH(Quote!$G$1,I465,1),""))</f>
        <v>0</v>
      </c>
      <c r="K465" s="30" t="str">
        <f>IF(J465=1,COUNTIF($J$1:J465,1),"")</f>
        <v/>
      </c>
      <c r="L465" s="30" t="str">
        <f>IFERROR(INDEX($I$1:$I$500,MATCH(ROWS($K$1:K465),$K$1:$K$500,0)),"")</f>
        <v/>
      </c>
    </row>
    <row r="466" spans="10:12" x14ac:dyDescent="0.25">
      <c r="J466" s="30">
        <f>--ISNUMBER(IFERROR(SEARCH(Quote!$G$1,I466,1),""))</f>
        <v>0</v>
      </c>
      <c r="K466" s="30" t="str">
        <f>IF(J466=1,COUNTIF($J$1:J466,1),"")</f>
        <v/>
      </c>
      <c r="L466" s="30" t="str">
        <f>IFERROR(INDEX($I$1:$I$500,MATCH(ROWS($K$1:K466),$K$1:$K$500,0)),"")</f>
        <v/>
      </c>
    </row>
    <row r="467" spans="10:12" x14ac:dyDescent="0.25">
      <c r="J467" s="30">
        <f>--ISNUMBER(IFERROR(SEARCH(Quote!$G$1,I467,1),""))</f>
        <v>0</v>
      </c>
      <c r="K467" s="30" t="str">
        <f>IF(J467=1,COUNTIF($J$1:J467,1),"")</f>
        <v/>
      </c>
      <c r="L467" s="30" t="str">
        <f>IFERROR(INDEX($I$1:$I$500,MATCH(ROWS($K$1:K467),$K$1:$K$500,0)),"")</f>
        <v/>
      </c>
    </row>
    <row r="468" spans="10:12" x14ac:dyDescent="0.25">
      <c r="J468" s="30">
        <f>--ISNUMBER(IFERROR(SEARCH(Quote!$G$1,I468,1),""))</f>
        <v>0</v>
      </c>
      <c r="K468" s="30" t="str">
        <f>IF(J468=1,COUNTIF($J$1:J468,1),"")</f>
        <v/>
      </c>
      <c r="L468" s="30" t="str">
        <f>IFERROR(INDEX($I$1:$I$500,MATCH(ROWS($K$1:K468),$K$1:$K$500,0)),"")</f>
        <v/>
      </c>
    </row>
    <row r="469" spans="10:12" x14ac:dyDescent="0.25">
      <c r="J469" s="30">
        <f>--ISNUMBER(IFERROR(SEARCH(Quote!$G$1,I469,1),""))</f>
        <v>0</v>
      </c>
      <c r="K469" s="30" t="str">
        <f>IF(J469=1,COUNTIF($J$1:J469,1),"")</f>
        <v/>
      </c>
      <c r="L469" s="30" t="str">
        <f>IFERROR(INDEX($I$1:$I$500,MATCH(ROWS($K$1:K469),$K$1:$K$500,0)),"")</f>
        <v/>
      </c>
    </row>
    <row r="470" spans="10:12" x14ac:dyDescent="0.25">
      <c r="J470" s="30">
        <f>--ISNUMBER(IFERROR(SEARCH(Quote!$G$1,I470,1),""))</f>
        <v>0</v>
      </c>
      <c r="K470" s="30" t="str">
        <f>IF(J470=1,COUNTIF($J$1:J470,1),"")</f>
        <v/>
      </c>
      <c r="L470" s="30" t="str">
        <f>IFERROR(INDEX($I$1:$I$500,MATCH(ROWS($K$1:K470),$K$1:$K$500,0)),"")</f>
        <v/>
      </c>
    </row>
    <row r="471" spans="10:12" x14ac:dyDescent="0.25">
      <c r="J471" s="30">
        <f>--ISNUMBER(IFERROR(SEARCH(Quote!$G$1,I471,1),""))</f>
        <v>0</v>
      </c>
      <c r="K471" s="30" t="str">
        <f>IF(J471=1,COUNTIF($J$1:J471,1),"")</f>
        <v/>
      </c>
      <c r="L471" s="30" t="str">
        <f>IFERROR(INDEX($I$1:$I$500,MATCH(ROWS($K$1:K471),$K$1:$K$500,0)),"")</f>
        <v/>
      </c>
    </row>
    <row r="472" spans="10:12" x14ac:dyDescent="0.25">
      <c r="J472" s="30">
        <f>--ISNUMBER(IFERROR(SEARCH(Quote!$G$1,I472,1),""))</f>
        <v>0</v>
      </c>
      <c r="K472" s="30" t="str">
        <f>IF(J472=1,COUNTIF($J$1:J472,1),"")</f>
        <v/>
      </c>
      <c r="L472" s="30" t="str">
        <f>IFERROR(INDEX($I$1:$I$500,MATCH(ROWS($K$1:K472),$K$1:$K$500,0)),"")</f>
        <v/>
      </c>
    </row>
    <row r="473" spans="10:12" x14ac:dyDescent="0.25">
      <c r="J473" s="30">
        <f>--ISNUMBER(IFERROR(SEARCH(Quote!$G$1,I473,1),""))</f>
        <v>0</v>
      </c>
      <c r="K473" s="30" t="str">
        <f>IF(J473=1,COUNTIF($J$1:J473,1),"")</f>
        <v/>
      </c>
      <c r="L473" s="30" t="str">
        <f>IFERROR(INDEX($I$1:$I$500,MATCH(ROWS($K$1:K473),$K$1:$K$500,0)),"")</f>
        <v/>
      </c>
    </row>
    <row r="474" spans="10:12" x14ac:dyDescent="0.25">
      <c r="J474" s="30">
        <f>--ISNUMBER(IFERROR(SEARCH(Quote!$G$1,I474,1),""))</f>
        <v>0</v>
      </c>
      <c r="K474" s="30" t="str">
        <f>IF(J474=1,COUNTIF($J$1:J474,1),"")</f>
        <v/>
      </c>
      <c r="L474" s="30" t="str">
        <f>IFERROR(INDEX($I$1:$I$500,MATCH(ROWS($K$1:K474),$K$1:$K$500,0)),"")</f>
        <v/>
      </c>
    </row>
    <row r="475" spans="10:12" x14ac:dyDescent="0.25">
      <c r="J475" s="30">
        <f>--ISNUMBER(IFERROR(SEARCH(Quote!$G$1,I475,1),""))</f>
        <v>0</v>
      </c>
      <c r="K475" s="30" t="str">
        <f>IF(J475=1,COUNTIF($J$1:J475,1),"")</f>
        <v/>
      </c>
      <c r="L475" s="30" t="str">
        <f>IFERROR(INDEX($I$1:$I$500,MATCH(ROWS($K$1:K475),$K$1:$K$500,0)),"")</f>
        <v/>
      </c>
    </row>
    <row r="476" spans="10:12" x14ac:dyDescent="0.25">
      <c r="J476" s="30">
        <f>--ISNUMBER(IFERROR(SEARCH(Quote!$G$1,I476,1),""))</f>
        <v>0</v>
      </c>
      <c r="K476" s="30" t="str">
        <f>IF(J476=1,COUNTIF($J$1:J476,1),"")</f>
        <v/>
      </c>
      <c r="L476" s="30" t="str">
        <f>IFERROR(INDEX($I$1:$I$500,MATCH(ROWS($K$1:K476),$K$1:$K$500,0)),"")</f>
        <v/>
      </c>
    </row>
    <row r="477" spans="10:12" x14ac:dyDescent="0.25">
      <c r="J477" s="30">
        <f>--ISNUMBER(IFERROR(SEARCH(Quote!$G$1,I477,1),""))</f>
        <v>0</v>
      </c>
      <c r="K477" s="30" t="str">
        <f>IF(J477=1,COUNTIF($J$1:J477,1),"")</f>
        <v/>
      </c>
      <c r="L477" s="30" t="str">
        <f>IFERROR(INDEX($I$1:$I$500,MATCH(ROWS($K$1:K477),$K$1:$K$500,0)),"")</f>
        <v/>
      </c>
    </row>
    <row r="478" spans="10:12" x14ac:dyDescent="0.25">
      <c r="J478" s="30">
        <f>--ISNUMBER(IFERROR(SEARCH(Quote!$G$1,I478,1),""))</f>
        <v>0</v>
      </c>
      <c r="K478" s="30" t="str">
        <f>IF(J478=1,COUNTIF($J$1:J478,1),"")</f>
        <v/>
      </c>
      <c r="L478" s="30" t="str">
        <f>IFERROR(INDEX($I$1:$I$500,MATCH(ROWS($K$1:K478),$K$1:$K$500,0)),"")</f>
        <v/>
      </c>
    </row>
    <row r="479" spans="10:12" x14ac:dyDescent="0.25">
      <c r="J479" s="30">
        <f>--ISNUMBER(IFERROR(SEARCH(Quote!$G$1,I479,1),""))</f>
        <v>0</v>
      </c>
      <c r="K479" s="30" t="str">
        <f>IF(J479=1,COUNTIF($J$1:J479,1),"")</f>
        <v/>
      </c>
      <c r="L479" s="30" t="str">
        <f>IFERROR(INDEX($I$1:$I$500,MATCH(ROWS($K$1:K479),$K$1:$K$500,0)),"")</f>
        <v/>
      </c>
    </row>
    <row r="480" spans="10:12" x14ac:dyDescent="0.25">
      <c r="J480" s="30">
        <f>--ISNUMBER(IFERROR(SEARCH(Quote!$G$1,I480,1),""))</f>
        <v>0</v>
      </c>
      <c r="K480" s="30" t="str">
        <f>IF(J480=1,COUNTIF($J$1:J480,1),"")</f>
        <v/>
      </c>
      <c r="L480" s="30" t="str">
        <f>IFERROR(INDEX($I$1:$I$500,MATCH(ROWS($K$1:K480),$K$1:$K$500,0)),"")</f>
        <v/>
      </c>
    </row>
    <row r="481" spans="10:12" x14ac:dyDescent="0.25">
      <c r="J481" s="30">
        <f>--ISNUMBER(IFERROR(SEARCH(Quote!$G$1,I481,1),""))</f>
        <v>0</v>
      </c>
      <c r="K481" s="30" t="str">
        <f>IF(J481=1,COUNTIF($J$1:J481,1),"")</f>
        <v/>
      </c>
      <c r="L481" s="30" t="str">
        <f>IFERROR(INDEX($I$1:$I$500,MATCH(ROWS($K$1:K481),$K$1:$K$500,0)),"")</f>
        <v/>
      </c>
    </row>
    <row r="482" spans="10:12" x14ac:dyDescent="0.25">
      <c r="J482" s="30">
        <f>--ISNUMBER(IFERROR(SEARCH(Quote!$G$1,I482,1),""))</f>
        <v>0</v>
      </c>
      <c r="K482" s="30" t="str">
        <f>IF(J482=1,COUNTIF($J$1:J482,1),"")</f>
        <v/>
      </c>
      <c r="L482" s="30" t="str">
        <f>IFERROR(INDEX($I$1:$I$500,MATCH(ROWS($K$1:K482),$K$1:$K$500,0)),"")</f>
        <v/>
      </c>
    </row>
    <row r="483" spans="10:12" x14ac:dyDescent="0.25">
      <c r="J483" s="30">
        <f>--ISNUMBER(IFERROR(SEARCH(Quote!$G$1,I483,1),""))</f>
        <v>0</v>
      </c>
      <c r="K483" s="30" t="str">
        <f>IF(J483=1,COUNTIF($J$1:J483,1),"")</f>
        <v/>
      </c>
      <c r="L483" s="30" t="str">
        <f>IFERROR(INDEX($I$1:$I$500,MATCH(ROWS($K$1:K483),$K$1:$K$500,0)),"")</f>
        <v/>
      </c>
    </row>
    <row r="484" spans="10:12" x14ac:dyDescent="0.25">
      <c r="J484" s="30">
        <f>--ISNUMBER(IFERROR(SEARCH(Quote!$G$1,I484,1),""))</f>
        <v>0</v>
      </c>
      <c r="K484" s="30" t="str">
        <f>IF(J484=1,COUNTIF($J$1:J484,1),"")</f>
        <v/>
      </c>
      <c r="L484" s="30" t="str">
        <f>IFERROR(INDEX($I$1:$I$500,MATCH(ROWS($K$1:K484),$K$1:$K$500,0)),"")</f>
        <v/>
      </c>
    </row>
    <row r="485" spans="10:12" x14ac:dyDescent="0.25">
      <c r="J485" s="30">
        <f>--ISNUMBER(IFERROR(SEARCH(Quote!$G$1,I485,1),""))</f>
        <v>0</v>
      </c>
      <c r="K485" s="30" t="str">
        <f>IF(J485=1,COUNTIF($J$1:J485,1),"")</f>
        <v/>
      </c>
      <c r="L485" s="30" t="str">
        <f>IFERROR(INDEX($I$1:$I$500,MATCH(ROWS($K$1:K485),$K$1:$K$500,0)),"")</f>
        <v/>
      </c>
    </row>
    <row r="486" spans="10:12" x14ac:dyDescent="0.25">
      <c r="J486" s="30">
        <f>--ISNUMBER(IFERROR(SEARCH(Quote!$G$1,I486,1),""))</f>
        <v>0</v>
      </c>
      <c r="K486" s="30" t="str">
        <f>IF(J486=1,COUNTIF($J$1:J486,1),"")</f>
        <v/>
      </c>
      <c r="L486" s="30" t="str">
        <f>IFERROR(INDEX($I$1:$I$500,MATCH(ROWS($K$1:K486),$K$1:$K$500,0)),"")</f>
        <v/>
      </c>
    </row>
    <row r="487" spans="10:12" x14ac:dyDescent="0.25">
      <c r="J487" s="30">
        <f>--ISNUMBER(IFERROR(SEARCH(Quote!$G$1,I487,1),""))</f>
        <v>0</v>
      </c>
      <c r="K487" s="30" t="str">
        <f>IF(J487=1,COUNTIF($J$1:J487,1),"")</f>
        <v/>
      </c>
      <c r="L487" s="30" t="str">
        <f>IFERROR(INDEX($I$1:$I$500,MATCH(ROWS($K$1:K487),$K$1:$K$500,0)),"")</f>
        <v/>
      </c>
    </row>
    <row r="488" spans="10:12" x14ac:dyDescent="0.25">
      <c r="J488" s="30">
        <f>--ISNUMBER(IFERROR(SEARCH(Quote!$G$1,I488,1),""))</f>
        <v>0</v>
      </c>
      <c r="K488" s="30" t="str">
        <f>IF(J488=1,COUNTIF($J$1:J488,1),"")</f>
        <v/>
      </c>
      <c r="L488" s="30" t="str">
        <f>IFERROR(INDEX($I$1:$I$500,MATCH(ROWS($K$1:K488),$K$1:$K$500,0)),"")</f>
        <v/>
      </c>
    </row>
    <row r="489" spans="10:12" x14ac:dyDescent="0.25">
      <c r="J489" s="30">
        <f>--ISNUMBER(IFERROR(SEARCH(Quote!$G$1,I489,1),""))</f>
        <v>0</v>
      </c>
      <c r="K489" s="30" t="str">
        <f>IF(J489=1,COUNTIF($J$1:J489,1),"")</f>
        <v/>
      </c>
      <c r="L489" s="30" t="str">
        <f>IFERROR(INDEX($I$1:$I$500,MATCH(ROWS($K$1:K489),$K$1:$K$500,0)),"")</f>
        <v/>
      </c>
    </row>
    <row r="490" spans="10:12" x14ac:dyDescent="0.25">
      <c r="J490" s="30">
        <f>--ISNUMBER(IFERROR(SEARCH(Quote!$G$1,I490,1),""))</f>
        <v>0</v>
      </c>
      <c r="K490" s="30" t="str">
        <f>IF(J490=1,COUNTIF($J$1:J490,1),"")</f>
        <v/>
      </c>
      <c r="L490" s="30" t="str">
        <f>IFERROR(INDEX($I$1:$I$500,MATCH(ROWS($K$1:K490),$K$1:$K$500,0)),"")</f>
        <v/>
      </c>
    </row>
    <row r="491" spans="10:12" x14ac:dyDescent="0.25">
      <c r="J491" s="30">
        <f>--ISNUMBER(IFERROR(SEARCH(Quote!$G$1,I491,1),""))</f>
        <v>0</v>
      </c>
      <c r="K491" s="30" t="str">
        <f>IF(J491=1,COUNTIF($J$1:J491,1),"")</f>
        <v/>
      </c>
      <c r="L491" s="30" t="str">
        <f>IFERROR(INDEX($I$1:$I$500,MATCH(ROWS($K$1:K491),$K$1:$K$500,0)),"")</f>
        <v/>
      </c>
    </row>
    <row r="492" spans="10:12" x14ac:dyDescent="0.25">
      <c r="J492" s="30">
        <f>--ISNUMBER(IFERROR(SEARCH(Quote!$G$1,I492,1),""))</f>
        <v>0</v>
      </c>
      <c r="K492" s="30" t="str">
        <f>IF(J492=1,COUNTIF($J$1:J492,1),"")</f>
        <v/>
      </c>
      <c r="L492" s="30" t="str">
        <f>IFERROR(INDEX($I$1:$I$500,MATCH(ROWS($K$1:K492),$K$1:$K$500,0)),"")</f>
        <v/>
      </c>
    </row>
    <row r="493" spans="10:12" x14ac:dyDescent="0.25">
      <c r="J493" s="30">
        <f>--ISNUMBER(IFERROR(SEARCH(Quote!$G$1,I493,1),""))</f>
        <v>0</v>
      </c>
      <c r="K493" s="30" t="str">
        <f>IF(J493=1,COUNTIF($J$1:J493,1),"")</f>
        <v/>
      </c>
      <c r="L493" s="30" t="str">
        <f>IFERROR(INDEX($I$1:$I$500,MATCH(ROWS($K$1:K493),$K$1:$K$500,0)),"")</f>
        <v/>
      </c>
    </row>
    <row r="494" spans="10:12" x14ac:dyDescent="0.25">
      <c r="J494" s="30">
        <f>--ISNUMBER(IFERROR(SEARCH(Quote!$G$1,I494,1),""))</f>
        <v>0</v>
      </c>
      <c r="K494" s="30" t="str">
        <f>IF(J494=1,COUNTIF($J$1:J494,1),"")</f>
        <v/>
      </c>
      <c r="L494" s="30" t="str">
        <f>IFERROR(INDEX($I$1:$I$500,MATCH(ROWS($K$1:K494),$K$1:$K$500,0)),"")</f>
        <v/>
      </c>
    </row>
    <row r="495" spans="10:12" x14ac:dyDescent="0.25">
      <c r="J495" s="30">
        <f>--ISNUMBER(IFERROR(SEARCH(Quote!$G$1,I495,1),""))</f>
        <v>0</v>
      </c>
      <c r="K495" s="30" t="str">
        <f>IF(J495=1,COUNTIF($J$1:J495,1),"")</f>
        <v/>
      </c>
      <c r="L495" s="30" t="str">
        <f>IFERROR(INDEX($I$1:$I$500,MATCH(ROWS($K$1:K495),$K$1:$K$500,0)),"")</f>
        <v/>
      </c>
    </row>
    <row r="496" spans="10:12" x14ac:dyDescent="0.25">
      <c r="J496" s="30">
        <f>--ISNUMBER(IFERROR(SEARCH(Quote!$G$1,I496,1),""))</f>
        <v>0</v>
      </c>
      <c r="K496" s="30" t="str">
        <f>IF(J496=1,COUNTIF($J$1:J496,1),"")</f>
        <v/>
      </c>
      <c r="L496" s="30" t="str">
        <f>IFERROR(INDEX($I$1:$I$500,MATCH(ROWS($K$1:K496),$K$1:$K$500,0)),"")</f>
        <v/>
      </c>
    </row>
    <row r="497" spans="10:12" x14ac:dyDescent="0.25">
      <c r="J497" s="30">
        <f>--ISNUMBER(IFERROR(SEARCH(Quote!$G$1,I497,1),""))</f>
        <v>0</v>
      </c>
      <c r="K497" s="30" t="str">
        <f>IF(J497=1,COUNTIF($J$1:J497,1),"")</f>
        <v/>
      </c>
      <c r="L497" s="30" t="str">
        <f>IFERROR(INDEX($I$1:$I$500,MATCH(ROWS($K$1:K497),$K$1:$K$500,0)),"")</f>
        <v/>
      </c>
    </row>
    <row r="498" spans="10:12" x14ac:dyDescent="0.25">
      <c r="J498" s="30">
        <f>--ISNUMBER(IFERROR(SEARCH(Quote!$G$1,I498,1),""))</f>
        <v>0</v>
      </c>
      <c r="K498" s="30" t="str">
        <f>IF(J498=1,COUNTIF($J$1:J498,1),"")</f>
        <v/>
      </c>
      <c r="L498" s="30" t="str">
        <f>IFERROR(INDEX($I$1:$I$500,MATCH(ROWS($K$1:K498),$K$1:$K$500,0)),"")</f>
        <v/>
      </c>
    </row>
    <row r="499" spans="10:12" x14ac:dyDescent="0.25">
      <c r="J499" s="30">
        <f>--ISNUMBER(IFERROR(SEARCH(Quote!$G$1,I499,1),""))</f>
        <v>0</v>
      </c>
      <c r="K499" s="30" t="str">
        <f>IF(J499=1,COUNTIF($J$1:J499,1),"")</f>
        <v/>
      </c>
      <c r="L499" s="30" t="str">
        <f>IFERROR(INDEX($I$1:$I$500,MATCH(ROWS($K$1:K499),$K$1:$K$500,0)),"")</f>
        <v/>
      </c>
    </row>
    <row r="500" spans="10:12" x14ac:dyDescent="0.25">
      <c r="J500" s="30">
        <f>--ISNUMBER(IFERROR(SEARCH(Quote!$G$1,I500,1),""))</f>
        <v>0</v>
      </c>
      <c r="K500" s="30" t="str">
        <f>IF(J500=1,COUNTIF($J$1:J500,1),"")</f>
        <v/>
      </c>
      <c r="L500" s="30" t="str">
        <f>IFERROR(INDEX($I$1:$I$500,MATCH(ROWS($K$1:K500),$K$1:$K$500,0)),"")</f>
        <v/>
      </c>
    </row>
  </sheetData>
  <sheetProtection formatColumns="0" insertColumns="0" insertRows="0" deleteColumns="0" deleteRows="0" selectLockedCells="1" sort="0" autoFilter="0"/>
  <sortState ref="I1:I501">
    <sortCondition ref="I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Quote</vt:lpstr>
      <vt:lpstr>Manual Entry</vt:lpstr>
      <vt:lpstr>Materials</vt:lpstr>
      <vt:lpstr>Saw Cut Lengths</vt:lpstr>
      <vt:lpstr>Saw Cut</vt:lpstr>
      <vt:lpstr>Cut List</vt:lpstr>
      <vt:lpstr>Piece List</vt:lpstr>
      <vt:lpstr>Lists</vt:lpstr>
      <vt:lpstr>AngleProf</vt:lpstr>
      <vt:lpstr>ChanProf</vt:lpstr>
      <vt:lpstr>FBMat</vt:lpstr>
      <vt:lpstr>FBProf</vt:lpstr>
      <vt:lpstr>HSSProf</vt:lpstr>
      <vt:lpstr>HydTubeProf</vt:lpstr>
      <vt:lpstr>PipeMat</vt:lpstr>
      <vt:lpstr>PipeProf</vt:lpstr>
      <vt:lpstr>'Cut List'!Print_Titles</vt:lpstr>
      <vt:lpstr>Quote!Print_Titles</vt:lpstr>
      <vt:lpstr>RBMat</vt:lpstr>
      <vt:lpstr>RBProf</vt:lpstr>
      <vt:lpstr>SProf</vt:lpstr>
      <vt:lpstr>StrucMat</vt:lpstr>
      <vt:lpstr>TubeMat</vt:lpstr>
      <vt:lpstr>TubeProf</vt:lpstr>
      <vt:lpstr>WProf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Fehr</dc:creator>
  <cp:lastModifiedBy>Tim Fehr</cp:lastModifiedBy>
  <cp:lastPrinted>2017-02-07T14:45:11Z</cp:lastPrinted>
  <dcterms:created xsi:type="dcterms:W3CDTF">2015-09-16T19:15:34Z</dcterms:created>
  <dcterms:modified xsi:type="dcterms:W3CDTF">2017-03-29T20:33:20Z</dcterms:modified>
</cp:coreProperties>
</file>